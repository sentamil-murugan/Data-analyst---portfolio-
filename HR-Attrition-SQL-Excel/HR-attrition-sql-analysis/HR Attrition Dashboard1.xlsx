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A2B41C6-102D-4603-BA63-336A016D63F2}" xr6:coauthVersionLast="47" xr6:coauthVersionMax="47" xr10:uidLastSave="{00000000-0000-0000-0000-000000000000}"/>
  <bookViews>
    <workbookView xWindow="-108" yWindow="-108" windowWidth="23256" windowHeight="12456" firstSheet="6" activeTab="9" xr2:uid="{1FDB734B-78AD-43E8-862A-B3AF2F84C8EB}"/>
  </bookViews>
  <sheets>
    <sheet name="overtime" sheetId="3" r:id="rId1"/>
    <sheet name="salary" sheetId="4" r:id="rId2"/>
    <sheet name="maritalstatus" sheetId="5" r:id="rId3"/>
    <sheet name="agegroup" sheetId="6" r:id="rId4"/>
    <sheet name="lifebalance" sheetId="7" r:id="rId5"/>
    <sheet name="distancegroup" sheetId="8" r:id="rId6"/>
    <sheet name="yearsincurrentrole" sheetId="10" r:id="rId7"/>
    <sheet name="job_role" sheetId="11" r:id="rId8"/>
    <sheet name="Sheet2" sheetId="12" r:id="rId9"/>
    <sheet name="Dashboard" sheetId="13" r:id="rId10"/>
    <sheet name="KeyInsights" sheetId="14" r:id="rId11"/>
  </sheets>
  <definedNames>
    <definedName name="ExternalData_1" localSheetId="3" hidden="1">agegroup!$A$1:$D$6</definedName>
    <definedName name="ExternalData_1" localSheetId="5" hidden="1">distancegroup!$A$1:$D$7</definedName>
    <definedName name="ExternalData_1" localSheetId="7" hidden="1">job_role!$A$1:$D$10</definedName>
    <definedName name="ExternalData_1" localSheetId="4" hidden="1">lifebalance!$A$1:$D$5</definedName>
    <definedName name="ExternalData_1" localSheetId="2" hidden="1">maritalstatus!$A$1:$D$4</definedName>
    <definedName name="ExternalData_1" localSheetId="0" hidden="1">overtime!$A$1:$D$3</definedName>
    <definedName name="ExternalData_1" localSheetId="1" hidden="1">salary!$A$1:$D$5</definedName>
    <definedName name="ExternalData_1" localSheetId="6" hidden="1">yearsincurrentrole!$A$1:$D$6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B5B45-1C60-435F-80AB-07C25EC76750}" keepAlive="1" name="Query - job_role" description="Connection to the 'job_role' query in the workbook." type="5" refreshedVersion="8" background="1" saveData="1">
    <dbPr connection="Provider=Microsoft.Mashup.OleDb.1;Data Source=$Workbook$;Location=job_role;Extended Properties=&quot;&quot;" command="SELECT * FROM [job_role]"/>
  </connection>
  <connection id="2" xr16:uid="{426B30B3-66E6-497A-9C4B-30BAE30E5A9A}" keepAlive="1" name="Query - SQLite 26 (2) csv" description="Connection to the 'SQLite 26 (2) csv' query in the workbook." type="5" refreshedVersion="8" background="1" saveData="1">
    <dbPr connection="Provider=Microsoft.Mashup.OleDb.1;Data Source=$Workbook$;Location=&quot;SQLite 26 (2) csv&quot;;Extended Properties=&quot;&quot;" command="SELECT * FROM [SQLite 26 (2) csv]"/>
  </connection>
  <connection id="3" xr16:uid="{2AB77AA1-8D85-491F-853D-171FADFC178C}" keepAlive="1" name="Query - SQLite 26 (3) csv" description="Connection to the 'SQLite 26 (3) csv' query in the workbook." type="5" refreshedVersion="8" background="1" saveData="1">
    <dbPr connection="Provider=Microsoft.Mashup.OleDb.1;Data Source=$Workbook$;Location=&quot;SQLite 26 (3) csv&quot;;Extended Properties=&quot;&quot;" command="SELECT * FROM [SQLite 26 (3) csv]"/>
  </connection>
  <connection id="4" xr16:uid="{94B88B5C-3FD7-489E-8F53-08A3EF3024E3}" keepAlive="1" name="Query - SQLite 26 (4) csv" description="Connection to the 'SQLite 26 (4) csv' query in the workbook." type="5" refreshedVersion="8" background="1" saveData="1">
    <dbPr connection="Provider=Microsoft.Mashup.OleDb.1;Data Source=$Workbook$;Location=&quot;SQLite 26 (4) csv&quot;;Extended Properties=&quot;&quot;" command="SELECT * FROM [SQLite 26 (4) csv]"/>
  </connection>
  <connection id="5" xr16:uid="{AD6E8D3C-8E27-4029-A270-EEB9AD1856B5}" keepAlive="1" name="Query - SQLite 26 (5) csv" description="Connection to the 'SQLite 26 (5) csv' query in the workbook." type="5" refreshedVersion="8" background="1" saveData="1">
    <dbPr connection="Provider=Microsoft.Mashup.OleDb.1;Data Source=$Workbook$;Location=&quot;SQLite 26 (5) csv&quot;;Extended Properties=&quot;&quot;" command="SELECT * FROM [SQLite 26 (5) csv]"/>
  </connection>
  <connection id="6" xr16:uid="{0DD855E7-4DFA-4D1A-BC3D-1756079A2C3B}" keepAlive="1" name="Query - SQLite 26 csv" description="Connection to the 'SQLite 26 csv' query in the workbook." type="5" refreshedVersion="8" background="1" saveData="1">
    <dbPr connection="Provider=Microsoft.Mashup.OleDb.1;Data Source=$Workbook$;Location=&quot;SQLite 26 csv&quot;;Extended Properties=&quot;&quot;" command="SELECT * FROM [SQLite 26 csv]"/>
  </connection>
  <connection id="7" xr16:uid="{3F36A9E0-3243-4D00-9645-189B719D77BC}" keepAlive="1" name="Query - SQLite 26 csv (2)" description="Connection to the 'SQLite 26 csv (2)' query in the workbook." type="5" refreshedVersion="0" background="1">
    <dbPr connection="Provider=Microsoft.Mashup.OleDb.1;Data Source=$Workbook$;Location=&quot;SQLite 26 csv (2)&quot;;Extended Properties=&quot;&quot;" command="SELECT * FROM [SQLite 26 csv (2)]"/>
  </connection>
  <connection id="8" xr16:uid="{46D7D9EE-C8F6-4E83-9176-B317E798C731}" keepAlive="1" name="Query - SQLite 35 (1)" description="Connection to the 'SQLite 35 (1)' query in the workbook." type="5" refreshedVersion="8" background="1" saveData="1">
    <dbPr connection="Provider=Microsoft.Mashup.OleDb.1;Data Source=$Workbook$;Location=&quot;SQLite 35 (1)&quot;;Extended Properties=&quot;&quot;" command="SELECT * FROM [SQLite 35 (1)]"/>
  </connection>
  <connection id="9" xr16:uid="{CB65E2E3-E420-4B6F-B4CB-4C0980FE5E26}" keepAlive="1" name="Query - yearsin currentrole" description="Connection to the 'yearsin currentrole' query in the workbook." type="5" refreshedVersion="8" background="1" saveData="1">
    <dbPr connection="Provider=Microsoft.Mashup.OleDb.1;Data Source=$Workbook$;Location=&quot;yearsin currentrole&quot;;Extended Properties=&quot;&quot;" command="SELECT * FROM [yearsin currentrole]"/>
  </connection>
</connections>
</file>

<file path=xl/sharedStrings.xml><?xml version="1.0" encoding="utf-8"?>
<sst xmlns="http://schemas.openxmlformats.org/spreadsheetml/2006/main" count="70" uniqueCount="46">
  <si>
    <t>overtime</t>
  </si>
  <si>
    <t>total</t>
  </si>
  <si>
    <t>leftcount</t>
  </si>
  <si>
    <t>round_perc</t>
  </si>
  <si>
    <t>No</t>
  </si>
  <si>
    <t>Yes</t>
  </si>
  <si>
    <t>salary</t>
  </si>
  <si>
    <t>1000-5550</t>
  </si>
  <si>
    <t>10000-15000</t>
  </si>
  <si>
    <t>5550-10000</t>
  </si>
  <si>
    <t>15000+</t>
  </si>
  <si>
    <t>maritalstatus</t>
  </si>
  <si>
    <t>Single</t>
  </si>
  <si>
    <t>Married</t>
  </si>
  <si>
    <t>Divorced</t>
  </si>
  <si>
    <t>agegroup</t>
  </si>
  <si>
    <t>35-44</t>
  </si>
  <si>
    <t>45-54</t>
  </si>
  <si>
    <t>54+</t>
  </si>
  <si>
    <t>25-34</t>
  </si>
  <si>
    <t>18-24</t>
  </si>
  <si>
    <t>lifebalance</t>
  </si>
  <si>
    <t>bad</t>
  </si>
  <si>
    <t>best</t>
  </si>
  <si>
    <t>good</t>
  </si>
  <si>
    <t>better</t>
  </si>
  <si>
    <t>distancegroup</t>
  </si>
  <si>
    <t>21-25</t>
  </si>
  <si>
    <t>11-15</t>
  </si>
  <si>
    <t>16-20</t>
  </si>
  <si>
    <t>25+</t>
  </si>
  <si>
    <t>6-10</t>
  </si>
  <si>
    <t>1-5</t>
  </si>
  <si>
    <t>yearsincurrent</t>
  </si>
  <si>
    <t>below 1</t>
  </si>
  <si>
    <t>16-18</t>
  </si>
  <si>
    <t>jobrole</t>
  </si>
  <si>
    <t>Sales Representative</t>
  </si>
  <si>
    <t>Laboratory Technician</t>
  </si>
  <si>
    <t>Human Resources</t>
  </si>
  <si>
    <t>Sales Executive</t>
  </si>
  <si>
    <t>Research Scientist</t>
  </si>
  <si>
    <t>Manufacturing Director</t>
  </si>
  <si>
    <t>Healthcare Representative</t>
  </si>
  <si>
    <t>Manager</t>
  </si>
  <si>
    <t>Research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</si>
</sst>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A1A2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33" borderId="0" xfId="0" applyFill="1"/>
    <xf numFmtId="0" fontId="0" fillId="33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69494"/>
      <color rgb="FF1A1A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69494"/>
                </a:solidFill>
              </a:rPr>
              <a:t>OverTime_working_hrs</a:t>
            </a:r>
            <a:br>
              <a:rPr lang="en-IN">
                <a:solidFill>
                  <a:srgbClr val="069494"/>
                </a:solidFill>
              </a:rPr>
            </a:br>
            <a:r>
              <a:rPr lang="en-IN" sz="1400" b="0" i="1" u="none" strike="noStrike" baseline="0">
                <a:solidFill>
                  <a:schemeClr val="tx2">
                    <a:lumMod val="25000"/>
                    <a:lumOff val="75000"/>
                  </a:schemeClr>
                </a:solidFill>
              </a:rPr>
              <a:t>Overtime workers leave 3x more often</a:t>
            </a:r>
            <a:endParaRPr lang="en-IN" i="1">
              <a:solidFill>
                <a:schemeClr val="tx2">
                  <a:lumMod val="25000"/>
                  <a:lumOff val="75000"/>
                </a:schemeClr>
              </a:solidFill>
            </a:endParaRPr>
          </a:p>
          <a:p>
            <a:pPr>
              <a:defRPr>
                <a:solidFill>
                  <a:srgbClr val="069494"/>
                </a:solidFill>
              </a:defRPr>
            </a:pPr>
            <a:endParaRPr lang="en-IN">
              <a:solidFill>
                <a:srgbClr val="069494"/>
              </a:solidFill>
            </a:endParaRPr>
          </a:p>
        </c:rich>
      </c:tx>
      <c:layout>
        <c:manualLayout>
          <c:xMode val="edge"/>
          <c:yMode val="edge"/>
          <c:x val="0.23115948739408437"/>
          <c:y val="2.7777940532393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949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overtime!$A$2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6949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overtime!$B$1:$D$1</c15:sqref>
                  </c15:fullRef>
                </c:ext>
              </c:extLst>
              <c:f>overtime!$D$1</c:f>
              <c:strCache>
                <c:ptCount val="1"/>
                <c:pt idx="0">
                  <c:v>round_perc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overtime!$B$2:$D$2</c15:sqref>
                  </c15:fullRef>
                </c:ext>
              </c:extLst>
              <c:f>overtime!$D$2</c:f>
              <c:numCache>
                <c:formatCode>General</c:formatCode>
                <c:ptCount val="1"/>
                <c:pt idx="0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0-4695-A885-0AC2D35EE7CF}"/>
            </c:ext>
          </c:extLst>
        </c:ser>
        <c:ser>
          <c:idx val="1"/>
          <c:order val="1"/>
          <c:tx>
            <c:strRef>
              <c:f>overtime!$A$3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6949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overtime!$B$1:$D$1</c15:sqref>
                  </c15:fullRef>
                </c:ext>
              </c:extLst>
              <c:f>overtime!$D$1</c:f>
              <c:strCache>
                <c:ptCount val="1"/>
                <c:pt idx="0">
                  <c:v>round_perc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overtime!$B$3:$D$3</c15:sqref>
                  </c15:fullRef>
                </c:ext>
              </c:extLst>
              <c:f>overtime!$D$3</c:f>
              <c:numCache>
                <c:formatCode>General</c:formatCode>
                <c:ptCount val="1"/>
                <c:pt idx="0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0-4695-A885-0AC2D35EE7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88351"/>
        <c:axId val="768958975"/>
      </c:barChart>
      <c:catAx>
        <c:axId val="10588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8958975"/>
        <c:crosses val="autoZero"/>
        <c:auto val="1"/>
        <c:lblAlgn val="ctr"/>
        <c:lblOffset val="100"/>
        <c:noMultiLvlLbl val="0"/>
      </c:catAx>
      <c:valAx>
        <c:axId val="7689589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6949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A1A2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69494"/>
                </a:solidFill>
              </a:rPr>
              <a:t>Salary</a:t>
            </a:r>
            <a:br>
              <a:rPr lang="en-IN">
                <a:solidFill>
                  <a:srgbClr val="069494"/>
                </a:solidFill>
              </a:rPr>
            </a:br>
            <a:r>
              <a:rPr lang="en-IN" sz="1400" b="0" i="1" u="none" strike="noStrike" baseline="0">
                <a:solidFill>
                  <a:schemeClr val="tx2">
                    <a:lumMod val="25000"/>
                    <a:lumOff val="75000"/>
                  </a:schemeClr>
                </a:solidFill>
              </a:rPr>
              <a:t>Attrition drops 5x as income rises</a:t>
            </a:r>
            <a:endParaRPr lang="en-IN" i="1">
              <a:solidFill>
                <a:schemeClr val="tx2">
                  <a:lumMod val="25000"/>
                  <a:lumOff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949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salary!$D$1</c:f>
              <c:strCache>
                <c:ptCount val="1"/>
                <c:pt idx="0">
                  <c:v>round_perc</c:v>
                </c:pt>
              </c:strCache>
            </c:strRef>
          </c:tx>
          <c:spPr>
            <a:solidFill>
              <a:srgbClr val="06949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947934372752137E-3"/>
                  <c:y val="-1.63227503906314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6949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652797858764976E-2"/>
                      <c:h val="0.111474677805445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A785-48B6-8EC3-9644241FF22B}"/>
                </c:ext>
              </c:extLst>
            </c:dLbl>
            <c:dLbl>
              <c:idx val="1"/>
              <c:layout>
                <c:manualLayout>
                  <c:x val="-2.7707944303977531E-3"/>
                  <c:y val="-1.6322750390631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85-48B6-8EC3-9644241FF22B}"/>
                </c:ext>
              </c:extLst>
            </c:dLbl>
            <c:dLbl>
              <c:idx val="2"/>
              <c:layout>
                <c:manualLayout>
                  <c:x val="-2.8903531192054671E-3"/>
                  <c:y val="7.74467766882361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85-48B6-8EC3-9644241FF22B}"/>
                </c:ext>
              </c:extLst>
            </c:dLbl>
            <c:dLbl>
              <c:idx val="3"/>
              <c:layout>
                <c:manualLayout>
                  <c:x val="-2.7707944303976516E-3"/>
                  <c:y val="-1.459591844952575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5-48B6-8EC3-9644241FF2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6949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salary!$A$2:$A$5</c:f>
              <c:strCache>
                <c:ptCount val="4"/>
                <c:pt idx="0">
                  <c:v>1000-5550</c:v>
                </c:pt>
                <c:pt idx="1">
                  <c:v>5550-10000</c:v>
                </c:pt>
                <c:pt idx="2">
                  <c:v>10000-15000</c:v>
                </c:pt>
                <c:pt idx="3">
                  <c:v>15000+</c:v>
                </c:pt>
              </c:strCache>
            </c:strRef>
          </c:cat>
          <c:val>
            <c:numRef>
              <c:f>salary!$D$2:$D$5</c:f>
              <c:numCache>
                <c:formatCode>General</c:formatCode>
                <c:ptCount val="4"/>
                <c:pt idx="0">
                  <c:v>20.100000000000001</c:v>
                </c:pt>
                <c:pt idx="1">
                  <c:v>12</c:v>
                </c:pt>
                <c:pt idx="2">
                  <c:v>13.5</c:v>
                </c:pt>
                <c:pt idx="3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5-48B6-8EC3-9644241FF2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08767"/>
        <c:axId val="7689479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salary!$B$1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salary!$A$2:$A$5</c15:sqref>
                        </c15:formulaRef>
                      </c:ext>
                    </c:extLst>
                    <c:strCache>
                      <c:ptCount val="4"/>
                      <c:pt idx="0">
                        <c:v>1000-5550</c:v>
                      </c:pt>
                      <c:pt idx="1">
                        <c:v>5550-10000</c:v>
                      </c:pt>
                      <c:pt idx="2">
                        <c:v>10000-15000</c:v>
                      </c:pt>
                      <c:pt idx="3">
                        <c:v>15000+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salary!$B$2:$B$5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856</c:v>
                      </c:pt>
                      <c:pt idx="1">
                        <c:v>333</c:v>
                      </c:pt>
                      <c:pt idx="2">
                        <c:v>148</c:v>
                      </c:pt>
                      <c:pt idx="3">
                        <c:v>133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785-48B6-8EC3-9644241FF22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salary!$C$1</c15:sqref>
                        </c15:formulaRef>
                      </c:ext>
                    </c:extLst>
                    <c:strCache>
                      <c:ptCount val="1"/>
                      <c:pt idx="0">
                        <c:v>leftcount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salary!$A$2:$A$5</c15:sqref>
                        </c15:formulaRef>
                      </c:ext>
                    </c:extLst>
                    <c:strCache>
                      <c:ptCount val="4"/>
                      <c:pt idx="0">
                        <c:v>1000-5550</c:v>
                      </c:pt>
                      <c:pt idx="1">
                        <c:v>5550-10000</c:v>
                      </c:pt>
                      <c:pt idx="2">
                        <c:v>10000-15000</c:v>
                      </c:pt>
                      <c:pt idx="3">
                        <c:v>15000+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salary!$C$2:$C$5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172</c:v>
                      </c:pt>
                      <c:pt idx="1">
                        <c:v>40</c:v>
                      </c:pt>
                      <c:pt idx="2">
                        <c:v>20</c:v>
                      </c:pt>
                      <c:pt idx="3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785-48B6-8EC3-9644241FF22B}"/>
                  </c:ext>
                </c:extLst>
              </c15:ser>
            </c15:filteredBarSeries>
          </c:ext>
        </c:extLst>
      </c:barChart>
      <c:catAx>
        <c:axId val="1060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47935"/>
        <c:crosses val="autoZero"/>
        <c:auto val="1"/>
        <c:lblAlgn val="ctr"/>
        <c:lblOffset val="100"/>
        <c:noMultiLvlLbl val="0"/>
      </c:catAx>
      <c:valAx>
        <c:axId val="76894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A1A2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69494"/>
                </a:solidFill>
              </a:rPr>
              <a:t>Worklife_balance</a:t>
            </a:r>
            <a:br>
              <a:rPr lang="en-IN">
                <a:solidFill>
                  <a:srgbClr val="069494"/>
                </a:solidFill>
              </a:rPr>
            </a:br>
            <a:r>
              <a:rPr lang="en-IN" sz="1400" b="0" i="1" u="none" strike="noStrike" baseline="0">
                <a:solidFill>
                  <a:schemeClr val="tx2">
                    <a:lumMod val="25000"/>
                    <a:lumOff val="75000"/>
                  </a:schemeClr>
                </a:solidFill>
              </a:rPr>
              <a:t>Bad balance nearly doubles attrition</a:t>
            </a:r>
            <a:endParaRPr lang="en-IN" i="1">
              <a:solidFill>
                <a:schemeClr val="tx2">
                  <a:lumMod val="25000"/>
                  <a:lumOff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949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lifebalance!$D$1</c:f>
              <c:strCache>
                <c:ptCount val="1"/>
                <c:pt idx="0">
                  <c:v>round_perc</c:v>
                </c:pt>
              </c:strCache>
            </c:strRef>
          </c:tx>
          <c:spPr>
            <a:solidFill>
              <a:srgbClr val="06949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680472320399507E-3"/>
                  <c:y val="7.907902329586413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C64-4868-8EE4-637C03B78A08}"/>
                </c:ext>
              </c:extLst>
            </c:dLbl>
            <c:dLbl>
              <c:idx val="1"/>
              <c:layout>
                <c:manualLayout>
                  <c:x val="-9.5464936034184481E-5"/>
                  <c:y val="-5.38219131047558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64-4868-8EE4-637C03B78A08}"/>
                </c:ext>
              </c:extLst>
            </c:dLbl>
            <c:dLbl>
              <c:idx val="2"/>
              <c:layout>
                <c:manualLayout>
                  <c:x val="-3.2451539557356553E-3"/>
                  <c:y val="3.74991685826716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64-4868-8EE4-637C03B78A08}"/>
                </c:ext>
              </c:extLst>
            </c:dLbl>
            <c:dLbl>
              <c:idx val="3"/>
              <c:layout>
                <c:manualLayout>
                  <c:x val="3.9732375603521476E-3"/>
                  <c:y val="1.41448805365652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6949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91537877131283E-2"/>
                      <c:h val="4.175954392766607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C64-4868-8EE4-637C03B78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6949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lifebalance!$A$2:$A$5</c:f>
              <c:strCache>
                <c:ptCount val="4"/>
                <c:pt idx="0">
                  <c:v>bad</c:v>
                </c:pt>
                <c:pt idx="1">
                  <c:v>good</c:v>
                </c:pt>
                <c:pt idx="2">
                  <c:v>best</c:v>
                </c:pt>
                <c:pt idx="3">
                  <c:v>better</c:v>
                </c:pt>
              </c:strCache>
            </c:strRef>
          </c:cat>
          <c:val>
            <c:numRef>
              <c:f>lifebalance!$D$2:$D$5</c:f>
              <c:numCache>
                <c:formatCode>General</c:formatCode>
                <c:ptCount val="4"/>
                <c:pt idx="0">
                  <c:v>31.3</c:v>
                </c:pt>
                <c:pt idx="1">
                  <c:v>16.899999999999999</c:v>
                </c:pt>
                <c:pt idx="2">
                  <c:v>17.600000000000001</c:v>
                </c:pt>
                <c:pt idx="3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4-4868-8EE4-637C03B78A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4661695"/>
        <c:axId val="4810024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lifebalance!$B$1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lifebalance!$A$2:$A$5</c15:sqref>
                        </c15:formulaRef>
                      </c:ext>
                    </c:extLst>
                    <c:strCache>
                      <c:ptCount val="4"/>
                      <c:pt idx="0">
                        <c:v>bad</c:v>
                      </c:pt>
                      <c:pt idx="1">
                        <c:v>good</c:v>
                      </c:pt>
                      <c:pt idx="2">
                        <c:v>best</c:v>
                      </c:pt>
                      <c:pt idx="3">
                        <c:v>better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lifebalance!$B$2:$B$5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80</c:v>
                      </c:pt>
                      <c:pt idx="1">
                        <c:v>344</c:v>
                      </c:pt>
                      <c:pt idx="2">
                        <c:v>153</c:v>
                      </c:pt>
                      <c:pt idx="3">
                        <c:v>893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C64-4868-8EE4-637C03B78A0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lifebalance!$C$1</c15:sqref>
                        </c15:formulaRef>
                      </c:ext>
                    </c:extLst>
                    <c:strCache>
                      <c:ptCount val="1"/>
                      <c:pt idx="0">
                        <c:v>leftcount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lifebalance!$A$2:$A$5</c15:sqref>
                        </c15:formulaRef>
                      </c:ext>
                    </c:extLst>
                    <c:strCache>
                      <c:ptCount val="4"/>
                      <c:pt idx="0">
                        <c:v>bad</c:v>
                      </c:pt>
                      <c:pt idx="1">
                        <c:v>good</c:v>
                      </c:pt>
                      <c:pt idx="2">
                        <c:v>best</c:v>
                      </c:pt>
                      <c:pt idx="3">
                        <c:v>better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lifebalance!$C$2:$C$5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</c:v>
                      </c:pt>
                      <c:pt idx="1">
                        <c:v>58</c:v>
                      </c:pt>
                      <c:pt idx="2">
                        <c:v>27</c:v>
                      </c:pt>
                      <c:pt idx="3">
                        <c:v>127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C64-4868-8EE4-637C03B78A08}"/>
                  </c:ext>
                </c:extLst>
              </c15:ser>
            </c15:filteredBarSeries>
          </c:ext>
        </c:extLst>
      </c:barChart>
      <c:catAx>
        <c:axId val="624661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02463"/>
        <c:crosses val="autoZero"/>
        <c:auto val="1"/>
        <c:lblAlgn val="ctr"/>
        <c:lblOffset val="100"/>
        <c:noMultiLvlLbl val="0"/>
      </c:catAx>
      <c:valAx>
        <c:axId val="48100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66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A1A2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69494"/>
                </a:solidFill>
              </a:rPr>
              <a:t>Years_in_currentrole</a:t>
            </a:r>
            <a:br>
              <a:rPr lang="en-IN">
                <a:solidFill>
                  <a:srgbClr val="069494"/>
                </a:solidFill>
              </a:rPr>
            </a:br>
            <a:r>
              <a:rPr lang="en-IN" sz="1400" b="0" i="1" u="none" strike="noStrike" baseline="0">
                <a:solidFill>
                  <a:schemeClr val="tx2">
                    <a:lumMod val="25000"/>
                    <a:lumOff val="75000"/>
                  </a:schemeClr>
                </a:solidFill>
              </a:rPr>
              <a:t>New role transitions are the riskiest period</a:t>
            </a:r>
            <a:endParaRPr lang="en-IN" i="1">
              <a:solidFill>
                <a:schemeClr val="tx2">
                  <a:lumMod val="25000"/>
                  <a:lumOff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949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yearsincurrentrole!$D$1</c:f>
              <c:strCache>
                <c:ptCount val="1"/>
                <c:pt idx="0">
                  <c:v>round_perc</c:v>
                </c:pt>
              </c:strCache>
            </c:strRef>
          </c:tx>
          <c:spPr>
            <a:solidFill>
              <a:srgbClr val="069494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74661463526039E-3"/>
                  <c:y val="-2.008800049658136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F3-4F4E-8B97-44DBE83E772C}"/>
                </c:ext>
              </c:extLst>
            </c:dLbl>
            <c:spPr>
              <a:solidFill>
                <a:srgbClr val="1A1A2E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6949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yearsincurrentrole!$A$2:$A$6</c:f>
              <c:strCache>
                <c:ptCount val="5"/>
                <c:pt idx="0">
                  <c:v>below 1</c:v>
                </c:pt>
                <c:pt idx="1">
                  <c:v>1-5</c:v>
                </c:pt>
                <c:pt idx="2">
                  <c:v>6-10</c:v>
                </c:pt>
                <c:pt idx="3">
                  <c:v>11-15</c:v>
                </c:pt>
                <c:pt idx="4">
                  <c:v>16-18</c:v>
                </c:pt>
              </c:strCache>
            </c:strRef>
          </c:cat>
          <c:val>
            <c:numRef>
              <c:f>yearsincurrentrole!$D$2:$D$6</c:f>
              <c:numCache>
                <c:formatCode>General</c:formatCode>
                <c:ptCount val="5"/>
                <c:pt idx="0">
                  <c:v>29.9</c:v>
                </c:pt>
                <c:pt idx="1">
                  <c:v>15.8</c:v>
                </c:pt>
                <c:pt idx="2">
                  <c:v>10.8</c:v>
                </c:pt>
                <c:pt idx="3">
                  <c:v>7.7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3-4F4E-8B97-44DBE83E77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4663087"/>
        <c:axId val="7689901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yearsincurrentrole!$B$1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yearsincurrentrole!$A$2:$A$6</c15:sqref>
                        </c15:formulaRef>
                      </c:ext>
                    </c:extLst>
                    <c:strCache>
                      <c:ptCount val="5"/>
                      <c:pt idx="0">
                        <c:v>below 1</c:v>
                      </c:pt>
                      <c:pt idx="1">
                        <c:v>1-5</c:v>
                      </c:pt>
                      <c:pt idx="2">
                        <c:v>6-10</c:v>
                      </c:pt>
                      <c:pt idx="3">
                        <c:v>11-15</c:v>
                      </c:pt>
                      <c:pt idx="4">
                        <c:v>16-18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yearsincurrentrole!$B$2:$B$6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244</c:v>
                      </c:pt>
                      <c:pt idx="1">
                        <c:v>704</c:v>
                      </c:pt>
                      <c:pt idx="2">
                        <c:v>444</c:v>
                      </c:pt>
                      <c:pt idx="3">
                        <c:v>65</c:v>
                      </c:pt>
                      <c:pt idx="4">
                        <c:v>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0F3-4F4E-8B97-44DBE83E772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yearsincurrentrole!$C$1</c15:sqref>
                        </c15:formulaRef>
                      </c:ext>
                    </c:extLst>
                    <c:strCache>
                      <c:ptCount val="1"/>
                      <c:pt idx="0">
                        <c:v>leftcount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yearsincurrentrole!$A$2:$A$6</c15:sqref>
                        </c15:formulaRef>
                      </c:ext>
                    </c:extLst>
                    <c:strCache>
                      <c:ptCount val="5"/>
                      <c:pt idx="0">
                        <c:v>below 1</c:v>
                      </c:pt>
                      <c:pt idx="1">
                        <c:v>1-5</c:v>
                      </c:pt>
                      <c:pt idx="2">
                        <c:v>6-10</c:v>
                      </c:pt>
                      <c:pt idx="3">
                        <c:v>11-15</c:v>
                      </c:pt>
                      <c:pt idx="4">
                        <c:v>16-18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yearsincurrentrole!$C$2:$C$6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73</c:v>
                      </c:pt>
                      <c:pt idx="1">
                        <c:v>111</c:v>
                      </c:pt>
                      <c:pt idx="2">
                        <c:v>48</c:v>
                      </c:pt>
                      <c:pt idx="3">
                        <c:v>5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0F3-4F4E-8B97-44DBE83E772C}"/>
                  </c:ext>
                </c:extLst>
              </c15:ser>
            </c15:filteredBarSeries>
          </c:ext>
        </c:extLst>
      </c:barChart>
      <c:catAx>
        <c:axId val="62466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1A1A2E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90175"/>
        <c:crosses val="autoZero"/>
        <c:auto val="1"/>
        <c:lblAlgn val="ctr"/>
        <c:lblOffset val="100"/>
        <c:noMultiLvlLbl val="0"/>
      </c:catAx>
      <c:valAx>
        <c:axId val="768990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66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A1A2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69494"/>
                </a:solidFill>
              </a:rPr>
              <a:t>Marital_status</a:t>
            </a:r>
            <a:br>
              <a:rPr lang="en-IN">
                <a:solidFill>
                  <a:srgbClr val="069494"/>
                </a:solidFill>
              </a:rPr>
            </a:br>
            <a:r>
              <a:rPr lang="en-IN" sz="1400" b="0" i="1" u="none" strike="noStrike" baseline="0">
                <a:solidFill>
                  <a:schemeClr val="tx2">
                    <a:lumMod val="25000"/>
                    <a:lumOff val="75000"/>
                  </a:schemeClr>
                </a:solidFill>
              </a:rPr>
              <a:t>Singles leave 2.5x more than divorced employees</a:t>
            </a:r>
            <a:endParaRPr lang="en-IN" i="1">
              <a:solidFill>
                <a:schemeClr val="tx2">
                  <a:lumMod val="25000"/>
                  <a:lumOff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949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maritalstatus!$D$1</c:f>
              <c:strCache>
                <c:ptCount val="1"/>
                <c:pt idx="0">
                  <c:v>round_perc</c:v>
                </c:pt>
              </c:strCache>
            </c:strRef>
          </c:tx>
          <c:spPr>
            <a:solidFill>
              <a:srgbClr val="0694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6949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maritalstatus!$A$2:$A$4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maritalstatus!$D$2:$D$4</c:f>
              <c:numCache>
                <c:formatCode>General</c:formatCode>
                <c:ptCount val="3"/>
                <c:pt idx="0">
                  <c:v>25.5</c:v>
                </c:pt>
                <c:pt idx="1">
                  <c:v>12.5</c:v>
                </c:pt>
                <c:pt idx="2">
                  <c:v>10.1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2-497E-B6A1-47B7E477D2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16191"/>
        <c:axId val="7689512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maritalstatus!$B$1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maritalstatus!$A$2:$A$4</c15:sqref>
                        </c15:formulaRef>
                      </c:ext>
                    </c:extLst>
                    <c:strCache>
                      <c:ptCount val="3"/>
                      <c:pt idx="0">
                        <c:v>Single</c:v>
                      </c:pt>
                      <c:pt idx="1">
                        <c:v>Married</c:v>
                      </c:pt>
                      <c:pt idx="2">
                        <c:v>Divorced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maritalstatus!$B$2:$B$4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470</c:v>
                      </c:pt>
                      <c:pt idx="1">
                        <c:v>673</c:v>
                      </c:pt>
                      <c:pt idx="2">
                        <c:v>327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C12-497E-B6A1-47B7E477D26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maritalstatus!$C$1</c15:sqref>
                        </c15:formulaRef>
                      </c:ext>
                    </c:extLst>
                    <c:strCache>
                      <c:ptCount val="1"/>
                      <c:pt idx="0">
                        <c:v>leftcount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maritalstatus!$A$2:$A$4</c15:sqref>
                        </c15:formulaRef>
                      </c:ext>
                    </c:extLst>
                    <c:strCache>
                      <c:ptCount val="3"/>
                      <c:pt idx="0">
                        <c:v>Single</c:v>
                      </c:pt>
                      <c:pt idx="1">
                        <c:v>Married</c:v>
                      </c:pt>
                      <c:pt idx="2">
                        <c:v>Divorced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maritalstatus!$C$2:$C$4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120</c:v>
                      </c:pt>
                      <c:pt idx="1">
                        <c:v>84</c:v>
                      </c:pt>
                      <c:pt idx="2">
                        <c:v>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C12-497E-B6A1-47B7E477D269}"/>
                  </c:ext>
                </c:extLst>
              </c15:ser>
            </c15:filteredBarSeries>
          </c:ext>
        </c:extLst>
      </c:barChart>
      <c:catAx>
        <c:axId val="1061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51295"/>
        <c:crosses val="autoZero"/>
        <c:auto val="1"/>
        <c:lblAlgn val="ctr"/>
        <c:lblOffset val="100"/>
        <c:noMultiLvlLbl val="0"/>
      </c:catAx>
      <c:valAx>
        <c:axId val="76895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2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69494"/>
                </a:solidFill>
              </a:rPr>
              <a:t>Age_group</a:t>
            </a:r>
            <a:br>
              <a:rPr lang="en-IN">
                <a:solidFill>
                  <a:srgbClr val="069494"/>
                </a:solidFill>
              </a:rPr>
            </a:br>
            <a:r>
              <a:rPr lang="en-IN" sz="1400" b="0" i="1" u="none" strike="noStrike" baseline="0">
                <a:solidFill>
                  <a:schemeClr val="tx2">
                    <a:lumMod val="25000"/>
                    <a:lumOff val="75000"/>
                  </a:schemeClr>
                </a:solidFill>
              </a:rPr>
              <a:t>18-24 year-olds leave 4x more than 35-44</a:t>
            </a:r>
            <a:endParaRPr lang="en-IN" i="1">
              <a:solidFill>
                <a:schemeClr val="tx2">
                  <a:lumMod val="25000"/>
                  <a:lumOff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949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agegroup!$D$1</c:f>
              <c:strCache>
                <c:ptCount val="1"/>
                <c:pt idx="0">
                  <c:v>round_perc</c:v>
                </c:pt>
              </c:strCache>
            </c:strRef>
          </c:tx>
          <c:spPr>
            <a:solidFill>
              <a:srgbClr val="069494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4.7779840965228198E-5"/>
                  <c:y val="1.16574638472649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74-4114-8E0E-F0963B533F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6949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agegroup!$A$2:$A$6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54+</c:v>
                </c:pt>
              </c:strCache>
            </c:strRef>
          </c:cat>
          <c:val>
            <c:numRef>
              <c:f>agegroup!$D$2:$D$6</c:f>
              <c:numCache>
                <c:formatCode>General</c:formatCode>
                <c:ptCount val="5"/>
                <c:pt idx="0">
                  <c:v>39.200000000000003</c:v>
                </c:pt>
                <c:pt idx="1">
                  <c:v>20.2</c:v>
                </c:pt>
                <c:pt idx="2">
                  <c:v>10.1</c:v>
                </c:pt>
                <c:pt idx="3">
                  <c:v>10.199999999999999</c:v>
                </c:pt>
                <c:pt idx="4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4-4114-8E0E-F0963B533F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49599"/>
        <c:axId val="48100678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agegroup!$B$1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agegroup!$A$2:$A$6</c15:sqref>
                        </c15:formulaRef>
                      </c:ext>
                    </c:extLst>
                    <c:strCache>
                      <c:ptCount val="5"/>
                      <c:pt idx="0">
                        <c:v>18-24</c:v>
                      </c:pt>
                      <c:pt idx="1">
                        <c:v>25-34</c:v>
                      </c:pt>
                      <c:pt idx="2">
                        <c:v>35-44</c:v>
                      </c:pt>
                      <c:pt idx="3">
                        <c:v>45-54</c:v>
                      </c:pt>
                      <c:pt idx="4">
                        <c:v>54+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agegroup!$B$2:$B$6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97</c:v>
                      </c:pt>
                      <c:pt idx="1">
                        <c:v>554</c:v>
                      </c:pt>
                      <c:pt idx="2">
                        <c:v>505</c:v>
                      </c:pt>
                      <c:pt idx="3">
                        <c:v>245</c:v>
                      </c:pt>
                      <c:pt idx="4">
                        <c:v>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D74-4114-8E0E-F0963B533F1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agegroup!$C$1</c15:sqref>
                        </c15:formulaRef>
                      </c:ext>
                    </c:extLst>
                    <c:strCache>
                      <c:ptCount val="1"/>
                      <c:pt idx="0">
                        <c:v>leftcount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agegroup!$A$2:$A$6</c15:sqref>
                        </c15:formulaRef>
                      </c:ext>
                    </c:extLst>
                    <c:strCache>
                      <c:ptCount val="5"/>
                      <c:pt idx="0">
                        <c:v>18-24</c:v>
                      </c:pt>
                      <c:pt idx="1">
                        <c:v>25-34</c:v>
                      </c:pt>
                      <c:pt idx="2">
                        <c:v>35-44</c:v>
                      </c:pt>
                      <c:pt idx="3">
                        <c:v>45-54</c:v>
                      </c:pt>
                      <c:pt idx="4">
                        <c:v>54+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agegroup!$C$2:$C$6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38</c:v>
                      </c:pt>
                      <c:pt idx="1">
                        <c:v>112</c:v>
                      </c:pt>
                      <c:pt idx="2">
                        <c:v>51</c:v>
                      </c:pt>
                      <c:pt idx="3">
                        <c:v>25</c:v>
                      </c:pt>
                      <c:pt idx="4">
                        <c:v>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D74-4114-8E0E-F0963B533F12}"/>
                  </c:ext>
                </c:extLst>
              </c15:ser>
            </c15:filteredBarSeries>
          </c:ext>
        </c:extLst>
      </c:barChart>
      <c:catAx>
        <c:axId val="1064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06783"/>
        <c:crosses val="autoZero"/>
        <c:auto val="1"/>
        <c:lblAlgn val="ctr"/>
        <c:lblOffset val="100"/>
        <c:noMultiLvlLbl val="0"/>
      </c:catAx>
      <c:valAx>
        <c:axId val="481006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A1A2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69494"/>
                </a:solidFill>
              </a:rPr>
              <a:t>Distance_from_home</a:t>
            </a:r>
            <a:br>
              <a:rPr lang="en-IN">
                <a:solidFill>
                  <a:srgbClr val="069494"/>
                </a:solidFill>
              </a:rPr>
            </a:br>
            <a:r>
              <a:rPr lang="en-IN" sz="1400" b="0" i="1" u="none" strike="noStrike" baseline="0">
                <a:solidFill>
                  <a:schemeClr val="tx2">
                    <a:lumMod val="25000"/>
                    <a:lumOff val="75000"/>
                  </a:schemeClr>
                </a:solidFill>
              </a:rPr>
              <a:t>Long commutes nearly double attrition risk</a:t>
            </a:r>
            <a:endParaRPr lang="en-IN" i="1">
              <a:solidFill>
                <a:schemeClr val="tx2">
                  <a:lumMod val="25000"/>
                  <a:lumOff val="75000"/>
                </a:schemeClr>
              </a:solidFill>
            </a:endParaRPr>
          </a:p>
          <a:p>
            <a:pPr>
              <a:defRPr>
                <a:solidFill>
                  <a:srgbClr val="069494"/>
                </a:solidFill>
              </a:defRPr>
            </a:pPr>
            <a:endParaRPr lang="en-IN">
              <a:solidFill>
                <a:srgbClr val="06949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949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distancegroup!$D$1</c:f>
              <c:strCache>
                <c:ptCount val="1"/>
                <c:pt idx="0">
                  <c:v>round_perc</c:v>
                </c:pt>
              </c:strCache>
            </c:strRef>
          </c:tx>
          <c:spPr>
            <a:solidFill>
              <a:srgbClr val="069494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5.1027973950638607E-17"/>
                  <c:y val="8.3238584522956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F4-43DD-BB75-9F61C41CA54E}"/>
                </c:ext>
              </c:extLst>
            </c:dLbl>
            <c:dLbl>
              <c:idx val="3"/>
              <c:layout>
                <c:manualLayout>
                  <c:x val="-2.7833761870989858E-3"/>
                  <c:y val="1.17495723256450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F4-43DD-BB75-9F61C41CA54E}"/>
                </c:ext>
              </c:extLst>
            </c:dLbl>
            <c:dLbl>
              <c:idx val="4"/>
              <c:layout>
                <c:manualLayout>
                  <c:x val="0"/>
                  <c:y val="3.42571387334936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F4-43DD-BB75-9F61C41CA5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6949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distancegroup!$A$2:$A$7</c:f>
              <c:strCache>
                <c:ptCount val="6"/>
                <c:pt idx="0">
                  <c:v>1-5</c:v>
                </c:pt>
                <c:pt idx="1">
                  <c:v>6-10</c:v>
                </c:pt>
                <c:pt idx="2">
                  <c:v>11-15</c:v>
                </c:pt>
                <c:pt idx="3">
                  <c:v>16-20</c:v>
                </c:pt>
                <c:pt idx="4">
                  <c:v>21-25</c:v>
                </c:pt>
                <c:pt idx="5">
                  <c:v>25+</c:v>
                </c:pt>
              </c:strCache>
            </c:strRef>
          </c:cat>
          <c:val>
            <c:numRef>
              <c:f>distancegroup!$D$2:$D$7</c:f>
              <c:numCache>
                <c:formatCode>General</c:formatCode>
                <c:ptCount val="6"/>
                <c:pt idx="0">
                  <c:v>13.8</c:v>
                </c:pt>
                <c:pt idx="1">
                  <c:v>14.5</c:v>
                </c:pt>
                <c:pt idx="2">
                  <c:v>21.7</c:v>
                </c:pt>
                <c:pt idx="3">
                  <c:v>18.399999999999999</c:v>
                </c:pt>
                <c:pt idx="4">
                  <c:v>27.4</c:v>
                </c:pt>
                <c:pt idx="5">
                  <c:v>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4-43DD-BB75-9F61C41CA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85327"/>
        <c:axId val="4810048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distancegroup!$B$1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distancegroup!$A$2:$A$7</c15:sqref>
                        </c15:formulaRef>
                      </c:ext>
                    </c:extLst>
                    <c:strCache>
                      <c:ptCount val="6"/>
                      <c:pt idx="0">
                        <c:v>1-5</c:v>
                      </c:pt>
                      <c:pt idx="1">
                        <c:v>6-10</c:v>
                      </c:pt>
                      <c:pt idx="2">
                        <c:v>11-15</c:v>
                      </c:pt>
                      <c:pt idx="3">
                        <c:v>16-20</c:v>
                      </c:pt>
                      <c:pt idx="4">
                        <c:v>21-25</c:v>
                      </c:pt>
                      <c:pt idx="5">
                        <c:v>25+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distancegroup!$B$2:$B$7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632</c:v>
                      </c:pt>
                      <c:pt idx="1">
                        <c:v>394</c:v>
                      </c:pt>
                      <c:pt idx="2">
                        <c:v>115</c:v>
                      </c:pt>
                      <c:pt idx="3">
                        <c:v>125</c:v>
                      </c:pt>
                      <c:pt idx="4">
                        <c:v>117</c:v>
                      </c:pt>
                      <c:pt idx="5">
                        <c:v>87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EF4-43DD-BB75-9F61C41CA54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distancegroup!$C$1</c15:sqref>
                        </c15:formulaRef>
                      </c:ext>
                    </c:extLst>
                    <c:strCache>
                      <c:ptCount val="1"/>
                      <c:pt idx="0">
                        <c:v>leftcount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distancegroup!$A$2:$A$7</c15:sqref>
                        </c15:formulaRef>
                      </c:ext>
                    </c:extLst>
                    <c:strCache>
                      <c:ptCount val="6"/>
                      <c:pt idx="0">
                        <c:v>1-5</c:v>
                      </c:pt>
                      <c:pt idx="1">
                        <c:v>6-10</c:v>
                      </c:pt>
                      <c:pt idx="2">
                        <c:v>11-15</c:v>
                      </c:pt>
                      <c:pt idx="3">
                        <c:v>16-20</c:v>
                      </c:pt>
                      <c:pt idx="4">
                        <c:v>21-25</c:v>
                      </c:pt>
                      <c:pt idx="5">
                        <c:v>25+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distancegroup!$C$2:$C$7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87</c:v>
                      </c:pt>
                      <c:pt idx="1">
                        <c:v>57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32</c:v>
                      </c:pt>
                      <c:pt idx="5">
                        <c:v>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EF4-43DD-BB75-9F61C41CA54E}"/>
                  </c:ext>
                </c:extLst>
              </c15:ser>
            </c15:filteredBarSeries>
          </c:ext>
        </c:extLst>
      </c:barChart>
      <c:catAx>
        <c:axId val="1068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04863"/>
        <c:crosses val="autoZero"/>
        <c:auto val="1"/>
        <c:lblAlgn val="ctr"/>
        <c:lblOffset val="100"/>
        <c:noMultiLvlLbl val="0"/>
      </c:catAx>
      <c:valAx>
        <c:axId val="48100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A1A2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69494"/>
                </a:solidFill>
              </a:rPr>
              <a:t>Job_role</a:t>
            </a:r>
            <a:br>
              <a:rPr lang="en-IN">
                <a:solidFill>
                  <a:srgbClr val="069494"/>
                </a:solidFill>
              </a:rPr>
            </a:br>
            <a:r>
              <a:rPr lang="en-IN" sz="1400" b="0" i="1" u="none" strike="noStrike" baseline="0">
                <a:solidFill>
                  <a:schemeClr val="tx2">
                    <a:lumMod val="25000"/>
                    <a:lumOff val="75000"/>
                  </a:schemeClr>
                </a:solidFill>
              </a:rPr>
              <a:t>Sales Reps leave 16x more than Research Directors</a:t>
            </a:r>
            <a:endParaRPr lang="en-IN" i="1">
              <a:solidFill>
                <a:schemeClr val="tx2">
                  <a:lumMod val="25000"/>
                  <a:lumOff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6949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78139615012286"/>
          <c:y val="0.18892270413762222"/>
          <c:w val="0.85907952896399753"/>
          <c:h val="0.44142047135338708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job_role!$D$1</c:f>
              <c:strCache>
                <c:ptCount val="1"/>
                <c:pt idx="0">
                  <c:v>round_perc</c:v>
                </c:pt>
              </c:strCache>
            </c:strRef>
          </c:tx>
          <c:spPr>
            <a:solidFill>
              <a:srgbClr val="06949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6949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job_role!$A$2:$A$10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Healthcare Representative</c:v>
                </c:pt>
                <c:pt idx="6">
                  <c:v>Manufacturing Director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job_role!$D$2:$D$10</c:f>
              <c:numCache>
                <c:formatCode>General</c:formatCode>
                <c:ptCount val="9"/>
                <c:pt idx="0">
                  <c:v>39.799999999999997</c:v>
                </c:pt>
                <c:pt idx="1">
                  <c:v>23.9</c:v>
                </c:pt>
                <c:pt idx="2">
                  <c:v>23.1</c:v>
                </c:pt>
                <c:pt idx="3">
                  <c:v>17.5</c:v>
                </c:pt>
                <c:pt idx="4">
                  <c:v>16.100000000000001</c:v>
                </c:pt>
                <c:pt idx="5">
                  <c:v>6.9</c:v>
                </c:pt>
                <c:pt idx="6">
                  <c:v>6.9</c:v>
                </c:pt>
                <c:pt idx="7">
                  <c:v>4.9000000000000004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B-4F1A-A69B-0A42286005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4892687"/>
        <c:axId val="76894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job_role!$B$1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job_role!$A$2:$A$10</c15:sqref>
                        </c15:formulaRef>
                      </c:ext>
                    </c:extLst>
                    <c:strCache>
                      <c:ptCount val="9"/>
                      <c:pt idx="0">
                        <c:v>Sales Representative</c:v>
                      </c:pt>
                      <c:pt idx="1">
                        <c:v>Laboratory Technician</c:v>
                      </c:pt>
                      <c:pt idx="2">
                        <c:v>Human Resources</c:v>
                      </c:pt>
                      <c:pt idx="3">
                        <c:v>Sales Executive</c:v>
                      </c:pt>
                      <c:pt idx="4">
                        <c:v>Research Scientist</c:v>
                      </c:pt>
                      <c:pt idx="5">
                        <c:v>Healthcare Representative</c:v>
                      </c:pt>
                      <c:pt idx="6">
                        <c:v>Manufacturing Director</c:v>
                      </c:pt>
                      <c:pt idx="7">
                        <c:v>Manager</c:v>
                      </c:pt>
                      <c:pt idx="8">
                        <c:v>Research Director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job_role!$B$2:$B$10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83</c:v>
                      </c:pt>
                      <c:pt idx="1">
                        <c:v>259</c:v>
                      </c:pt>
                      <c:pt idx="2">
                        <c:v>52</c:v>
                      </c:pt>
                      <c:pt idx="3">
                        <c:v>326</c:v>
                      </c:pt>
                      <c:pt idx="4">
                        <c:v>292</c:v>
                      </c:pt>
                      <c:pt idx="5">
                        <c:v>131</c:v>
                      </c:pt>
                      <c:pt idx="6">
                        <c:v>145</c:v>
                      </c:pt>
                      <c:pt idx="7">
                        <c:v>102</c:v>
                      </c:pt>
                      <c:pt idx="8">
                        <c:v>80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C5B-4F1A-A69B-0A422860056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job_role!$C$1</c15:sqref>
                        </c15:formulaRef>
                      </c:ext>
                    </c:extLst>
                    <c:strCache>
                      <c:ptCount val="1"/>
                      <c:pt idx="0">
                        <c:v>leftcount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job_role!$A$2:$A$10</c15:sqref>
                        </c15:formulaRef>
                      </c:ext>
                    </c:extLst>
                    <c:strCache>
                      <c:ptCount val="9"/>
                      <c:pt idx="0">
                        <c:v>Sales Representative</c:v>
                      </c:pt>
                      <c:pt idx="1">
                        <c:v>Laboratory Technician</c:v>
                      </c:pt>
                      <c:pt idx="2">
                        <c:v>Human Resources</c:v>
                      </c:pt>
                      <c:pt idx="3">
                        <c:v>Sales Executive</c:v>
                      </c:pt>
                      <c:pt idx="4">
                        <c:v>Research Scientist</c:v>
                      </c:pt>
                      <c:pt idx="5">
                        <c:v>Healthcare Representative</c:v>
                      </c:pt>
                      <c:pt idx="6">
                        <c:v>Manufacturing Director</c:v>
                      </c:pt>
                      <c:pt idx="7">
                        <c:v>Manager</c:v>
                      </c:pt>
                      <c:pt idx="8">
                        <c:v>Research Director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job_role!$C$2:$C$10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33</c:v>
                      </c:pt>
                      <c:pt idx="1">
                        <c:v>62</c:v>
                      </c:pt>
                      <c:pt idx="2">
                        <c:v>12</c:v>
                      </c:pt>
                      <c:pt idx="3">
                        <c:v>57</c:v>
                      </c:pt>
                      <c:pt idx="4">
                        <c:v>47</c:v>
                      </c:pt>
                      <c:pt idx="5">
                        <c:v>9</c:v>
                      </c:pt>
                      <c:pt idx="6">
                        <c:v>10</c:v>
                      </c:pt>
                      <c:pt idx="7">
                        <c:v>5</c:v>
                      </c:pt>
                      <c:pt idx="8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C5B-4F1A-A69B-0A4228600560}"/>
                  </c:ext>
                </c:extLst>
              </c15:ser>
            </c15:filteredBarSeries>
          </c:ext>
        </c:extLst>
      </c:barChart>
      <c:catAx>
        <c:axId val="149489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947455"/>
        <c:crosses val="autoZero"/>
        <c:auto val="1"/>
        <c:lblAlgn val="ctr"/>
        <c:lblOffset val="100"/>
        <c:noMultiLvlLbl val="0"/>
      </c:catAx>
      <c:valAx>
        <c:axId val="768947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6949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89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A1A2E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323491</xdr:colOff>
      <xdr:row>18</xdr:row>
      <xdr:rowOff>28753</xdr:rowOff>
    </xdr:from>
    <xdr:to>
      <xdr:col>4</xdr:col>
      <xdr:colOff>524774</xdr:colOff>
      <xdr:row>23</xdr:row>
      <xdr:rowOff>172527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AFD209-E828-2669-FE95-1CECCB0C542C}"/>
            </a:ext>
          </a:extLst>
        </xdr:cNvPr>
        <xdr:cNvSpPr txBox="1"/>
      </xdr:nvSpPr>
      <xdr:spPr>
        <a:xfrm>
          <a:off x="323491" y="3263659"/>
          <a:ext cx="2645434" cy="10423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             </a:t>
          </a:r>
          <a:r>
            <a:rPr lang="en-IN" sz="1800" b="1">
              <a:solidFill>
                <a:srgbClr val="069494"/>
              </a:solidFill>
            </a:rPr>
            <a:t>Total Employees</a:t>
          </a:r>
          <a:br>
            <a:rPr lang="en-IN" sz="1800" b="0"/>
          </a:br>
          <a:endParaRPr lang="en-IN" sz="1800" b="0"/>
        </a:p>
        <a:p>
          <a:r>
            <a:rPr lang="en-IN" sz="1800" b="1" baseline="0"/>
            <a:t>                 </a:t>
          </a:r>
          <a:r>
            <a:rPr lang="en-IN" sz="1800" b="1"/>
            <a:t>     </a:t>
          </a:r>
          <a:r>
            <a:rPr lang="en-IN" sz="2400" b="1">
              <a:solidFill>
                <a:srgbClr val="069494"/>
              </a:solidFill>
            </a:rPr>
            <a:t>1470</a:t>
          </a:r>
        </a:p>
      </xdr:txBody>
    </xdr:sp>
    <xdr:clientData/>
  </xdr:twoCellAnchor>
  <xdr:twoCellAnchor>
    <xdr:from>
      <xdr:col>5</xdr:col>
      <xdr:colOff>86264</xdr:colOff>
      <xdr:row>18</xdr:row>
      <xdr:rowOff>21565</xdr:rowOff>
    </xdr:from>
    <xdr:to>
      <xdr:col>11</xdr:col>
      <xdr:colOff>57510</xdr:colOff>
      <xdr:row>23</xdr:row>
      <xdr:rowOff>165339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45DA34-3E50-50A4-8D74-4642281C8978}"/>
            </a:ext>
          </a:extLst>
        </xdr:cNvPr>
        <xdr:cNvSpPr txBox="1"/>
      </xdr:nvSpPr>
      <xdr:spPr>
        <a:xfrm>
          <a:off x="3141453" y="3256471"/>
          <a:ext cx="3637472" cy="10423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                 </a:t>
          </a:r>
          <a:r>
            <a:rPr lang="en-IN" sz="1800" b="1">
              <a:solidFill>
                <a:srgbClr val="069494"/>
              </a:solidFill>
            </a:rPr>
            <a:t>Highest Risk Role</a:t>
          </a:r>
          <a:br>
            <a:rPr lang="en-IN" sz="1800" b="1">
              <a:solidFill>
                <a:srgbClr val="069494"/>
              </a:solidFill>
            </a:rPr>
          </a:br>
          <a:endParaRPr lang="en-IN" sz="1800" b="1">
            <a:solidFill>
              <a:srgbClr val="069494"/>
            </a:solidFill>
          </a:endParaRPr>
        </a:p>
        <a:p>
          <a:r>
            <a:rPr lang="en-IN" sz="2000" b="1">
              <a:solidFill>
                <a:srgbClr val="069494"/>
              </a:solidFill>
            </a:rPr>
            <a:t>   </a:t>
          </a:r>
          <a:r>
            <a:rPr lang="en-IN" sz="1800" b="1">
              <a:solidFill>
                <a:srgbClr val="069494"/>
              </a:solidFill>
              <a:latin typeface="+mn-lt"/>
              <a:ea typeface="+mn-ea"/>
              <a:cs typeface="+mn-cs"/>
            </a:rPr>
            <a:t>Sales</a:t>
          </a:r>
          <a:r>
            <a:rPr lang="en-IN" sz="2000" b="1">
              <a:solidFill>
                <a:srgbClr val="069494"/>
              </a:solidFill>
            </a:rPr>
            <a:t> </a:t>
          </a:r>
          <a:r>
            <a:rPr lang="en-IN" sz="1800" b="1">
              <a:solidFill>
                <a:srgbClr val="069494"/>
              </a:solidFill>
              <a:latin typeface="+mn-lt"/>
              <a:ea typeface="+mn-ea"/>
              <a:cs typeface="+mn-cs"/>
            </a:rPr>
            <a:t>Representative</a:t>
          </a:r>
          <a:r>
            <a:rPr lang="en-IN" sz="2000" b="1">
              <a:solidFill>
                <a:srgbClr val="069494"/>
              </a:solidFill>
            </a:rPr>
            <a:t>  - </a:t>
          </a:r>
          <a:r>
            <a:rPr lang="en-IN" sz="2400" b="1">
              <a:solidFill>
                <a:srgbClr val="069494"/>
              </a:solidFill>
              <a:latin typeface="+mn-lt"/>
              <a:ea typeface="+mn-ea"/>
              <a:cs typeface="+mn-cs"/>
            </a:rPr>
            <a:t>39.8</a:t>
          </a:r>
          <a:r>
            <a:rPr lang="en-IN" sz="2400" b="1">
              <a:solidFill>
                <a:srgbClr val="069494"/>
              </a:solidFill>
            </a:rPr>
            <a:t>%</a:t>
          </a:r>
        </a:p>
        <a:p>
          <a:r>
            <a:rPr lang="en-IN" sz="2400" b="1"/>
            <a:t>            </a:t>
          </a:r>
        </a:p>
      </xdr:txBody>
    </xdr:sp>
    <xdr:clientData/>
  </xdr:twoCellAnchor>
  <xdr:twoCellAnchor>
    <xdr:from>
      <xdr:col>11</xdr:col>
      <xdr:colOff>309113</xdr:colOff>
      <xdr:row>18</xdr:row>
      <xdr:rowOff>35943</xdr:rowOff>
    </xdr:from>
    <xdr:to>
      <xdr:col>15</xdr:col>
      <xdr:colOff>510396</xdr:colOff>
      <xdr:row>24</xdr:row>
      <xdr:rowOff>7188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217E95-F395-B191-8425-F34EC6ED2D5D}"/>
            </a:ext>
          </a:extLst>
        </xdr:cNvPr>
        <xdr:cNvSpPr txBox="1"/>
      </xdr:nvSpPr>
      <xdr:spPr>
        <a:xfrm>
          <a:off x="7030528" y="3270849"/>
          <a:ext cx="2645434" cy="1049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        </a:t>
          </a:r>
          <a:r>
            <a:rPr lang="en-IN" sz="1800" b="1">
              <a:solidFill>
                <a:srgbClr val="069494"/>
              </a:solidFill>
            </a:rPr>
            <a:t>Highest Risk Factor</a:t>
          </a:r>
          <a:br>
            <a:rPr lang="en-IN" sz="1800" b="1">
              <a:solidFill>
                <a:srgbClr val="069494"/>
              </a:solidFill>
            </a:rPr>
          </a:br>
          <a:r>
            <a:rPr lang="en-IN">
              <a:solidFill>
                <a:srgbClr val="069494"/>
              </a:solidFill>
            </a:rPr>
            <a:t>                            </a:t>
          </a:r>
        </a:p>
        <a:p>
          <a:r>
            <a:rPr lang="en-IN" sz="2000" b="1" baseline="0">
              <a:solidFill>
                <a:srgbClr val="069494"/>
              </a:solidFill>
            </a:rPr>
            <a:t>        </a:t>
          </a:r>
          <a:r>
            <a:rPr lang="en-IN" sz="2000" b="1">
              <a:solidFill>
                <a:srgbClr val="069494"/>
              </a:solidFill>
            </a:rPr>
            <a:t>OverTime - </a:t>
          </a:r>
          <a:r>
            <a:rPr lang="en-IN" sz="2400" b="1">
              <a:solidFill>
                <a:srgbClr val="069494"/>
              </a:solidFill>
            </a:rPr>
            <a:t>30.5%</a:t>
          </a:r>
        </a:p>
      </xdr:txBody>
    </xdr:sp>
    <xdr:clientData/>
  </xdr:twoCellAnchor>
  <xdr:twoCellAnchor>
    <xdr:from>
      <xdr:col>5</xdr:col>
      <xdr:colOff>358140</xdr:colOff>
      <xdr:row>9</xdr:row>
      <xdr:rowOff>114300</xdr:rowOff>
    </xdr:from>
    <xdr:to>
      <xdr:col>14</xdr:col>
      <xdr:colOff>289560</xdr:colOff>
      <xdr:row>15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60B80F-52D0-97F2-73A2-B85311E9485B}"/>
            </a:ext>
          </a:extLst>
        </xdr:cNvPr>
        <xdr:cNvSpPr txBox="1"/>
      </xdr:nvSpPr>
      <xdr:spPr>
        <a:xfrm>
          <a:off x="3406140" y="1760220"/>
          <a:ext cx="5417820" cy="1135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                          </a:t>
          </a:r>
          <a:r>
            <a:rPr lang="en-IN" sz="2000" b="1">
              <a:solidFill>
                <a:srgbClr val="0070C0"/>
              </a:solidFill>
            </a:rPr>
            <a:t>  </a:t>
          </a:r>
          <a:r>
            <a:rPr lang="en-IN" sz="2000" b="1">
              <a:solidFill>
                <a:schemeClr val="tx2">
                  <a:lumMod val="75000"/>
                  <a:lumOff val="25000"/>
                </a:schemeClr>
              </a:solidFill>
            </a:rPr>
            <a:t>Why Employees Leave </a:t>
          </a:r>
          <a:br>
            <a:rPr lang="en-IN" sz="2000" b="1">
              <a:solidFill>
                <a:schemeClr val="tx2">
                  <a:lumMod val="75000"/>
                  <a:lumOff val="25000"/>
                </a:schemeClr>
              </a:solidFill>
            </a:rPr>
          </a:br>
          <a:r>
            <a:rPr lang="en-IN" sz="2000" b="1">
              <a:solidFill>
                <a:schemeClr val="tx2">
                  <a:lumMod val="75000"/>
                  <a:lumOff val="25000"/>
                </a:schemeClr>
              </a:solidFill>
            </a:rPr>
            <a:t>                  </a:t>
          </a:r>
          <a:r>
            <a:rPr lang="en-IN" sz="3200" b="1">
              <a:solidFill>
                <a:schemeClr val="tx2">
                  <a:lumMod val="75000"/>
                  <a:lumOff val="25000"/>
                </a:schemeClr>
              </a:solidFill>
            </a:rPr>
            <a:t>HR Attrition Analysis</a:t>
          </a:r>
        </a:p>
      </xdr:txBody>
    </xdr:sp>
    <xdr:clientData/>
  </xdr:twoCellAnchor>
  <xdr:twoCellAnchor>
    <xdr:from>
      <xdr:col>16</xdr:col>
      <xdr:colOff>93453</xdr:colOff>
      <xdr:row>18</xdr:row>
      <xdr:rowOff>35942</xdr:rowOff>
    </xdr:from>
    <xdr:to>
      <xdr:col>20</xdr:col>
      <xdr:colOff>222848</xdr:colOff>
      <xdr:row>24</xdr:row>
      <xdr:rowOff>43132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7F204AF-891A-0995-17CD-96CBAC2A9B7C}"/>
            </a:ext>
          </a:extLst>
        </xdr:cNvPr>
        <xdr:cNvSpPr txBox="1"/>
      </xdr:nvSpPr>
      <xdr:spPr>
        <a:xfrm>
          <a:off x="9914786" y="3274442"/>
          <a:ext cx="2584729" cy="1086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  </a:t>
          </a:r>
          <a:r>
            <a:rPr lang="en-IN" sz="1800" b="1">
              <a:solidFill>
                <a:srgbClr val="069494"/>
              </a:solidFill>
            </a:rPr>
            <a:t>Overall Attrition Rate</a:t>
          </a:r>
          <a:r>
            <a:rPr lang="en-IN" sz="1800" b="1" baseline="0">
              <a:solidFill>
                <a:srgbClr val="069494"/>
              </a:solidFill>
            </a:rPr>
            <a:t> </a:t>
          </a:r>
          <a:br>
            <a:rPr lang="en-IN" baseline="0">
              <a:solidFill>
                <a:srgbClr val="069494"/>
              </a:solidFill>
            </a:rPr>
          </a:br>
          <a:br>
            <a:rPr lang="en-IN" baseline="0">
              <a:solidFill>
                <a:srgbClr val="069494"/>
              </a:solidFill>
            </a:rPr>
          </a:br>
          <a:r>
            <a:rPr lang="en-IN">
              <a:solidFill>
                <a:srgbClr val="069494"/>
              </a:solidFill>
            </a:rPr>
            <a:t>                            </a:t>
          </a:r>
          <a:r>
            <a:rPr lang="en-IN" sz="2400">
              <a:solidFill>
                <a:srgbClr val="069494"/>
              </a:solidFill>
            </a:rPr>
            <a:t> </a:t>
          </a:r>
          <a:r>
            <a:rPr lang="en-IN" sz="2400" b="1">
              <a:solidFill>
                <a:srgbClr val="069494"/>
              </a:solidFill>
            </a:rPr>
            <a:t>16.1%</a:t>
          </a:r>
        </a:p>
      </xdr:txBody>
    </xdr:sp>
    <xdr:clientData/>
  </xdr:twoCellAnchor>
  <xdr:twoCellAnchor>
    <xdr:from>
      <xdr:col>0</xdr:col>
      <xdr:colOff>277772</xdr:colOff>
      <xdr:row>18</xdr:row>
      <xdr:rowOff>28754</xdr:rowOff>
    </xdr:from>
    <xdr:to>
      <xdr:col>0</xdr:col>
      <xdr:colOff>323491</xdr:colOff>
      <xdr:row>24</xdr:row>
      <xdr:rowOff>7188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11100C8-2C10-08E7-3F99-62E728EF5F11}"/>
            </a:ext>
          </a:extLst>
        </xdr:cNvPr>
        <xdr:cNvSpPr/>
      </xdr:nvSpPr>
      <xdr:spPr>
        <a:xfrm>
          <a:off x="277772" y="3263660"/>
          <a:ext cx="45719" cy="1056736"/>
        </a:xfrm>
        <a:prstGeom prst="rect">
          <a:avLst/>
        </a:prstGeom>
        <a:solidFill>
          <a:srgbClr val="0694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68580</xdr:colOff>
      <xdr:row>18</xdr:row>
      <xdr:rowOff>21565</xdr:rowOff>
    </xdr:from>
    <xdr:to>
      <xdr:col>5</xdr:col>
      <xdr:colOff>114299</xdr:colOff>
      <xdr:row>23</xdr:row>
      <xdr:rowOff>179716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83A07F7-C813-4138-8450-9EF254BE4A4E}"/>
            </a:ext>
          </a:extLst>
        </xdr:cNvPr>
        <xdr:cNvSpPr/>
      </xdr:nvSpPr>
      <xdr:spPr>
        <a:xfrm>
          <a:off x="3123769" y="3256471"/>
          <a:ext cx="45719" cy="1056736"/>
        </a:xfrm>
        <a:prstGeom prst="rect">
          <a:avLst/>
        </a:prstGeom>
        <a:solidFill>
          <a:srgbClr val="0694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265981</xdr:colOff>
      <xdr:row>18</xdr:row>
      <xdr:rowOff>35944</xdr:rowOff>
    </xdr:from>
    <xdr:to>
      <xdr:col>11</xdr:col>
      <xdr:colOff>311700</xdr:colOff>
      <xdr:row>24</xdr:row>
      <xdr:rowOff>14378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010114E-2042-49DE-A461-AC92B590D9AC}"/>
            </a:ext>
          </a:extLst>
        </xdr:cNvPr>
        <xdr:cNvSpPr/>
      </xdr:nvSpPr>
      <xdr:spPr>
        <a:xfrm>
          <a:off x="6987396" y="3270850"/>
          <a:ext cx="45719" cy="1056736"/>
        </a:xfrm>
        <a:prstGeom prst="rect">
          <a:avLst/>
        </a:prstGeom>
        <a:solidFill>
          <a:srgbClr val="0694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86264</xdr:colOff>
      <xdr:row>18</xdr:row>
      <xdr:rowOff>35942</xdr:rowOff>
    </xdr:from>
    <xdr:to>
      <xdr:col>16</xdr:col>
      <xdr:colOff>131983</xdr:colOff>
      <xdr:row>24</xdr:row>
      <xdr:rowOff>43132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47DF69E-CB3A-43BE-94D6-C2FAF4D1F101}"/>
            </a:ext>
          </a:extLst>
        </xdr:cNvPr>
        <xdr:cNvSpPr/>
      </xdr:nvSpPr>
      <xdr:spPr>
        <a:xfrm>
          <a:off x="9862868" y="3270848"/>
          <a:ext cx="45719" cy="1085492"/>
        </a:xfrm>
        <a:prstGeom prst="rect">
          <a:avLst/>
        </a:prstGeom>
        <a:solidFill>
          <a:srgbClr val="06949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322196</xdr:colOff>
      <xdr:row>9</xdr:row>
      <xdr:rowOff>114011</xdr:rowOff>
    </xdr:from>
    <xdr:to>
      <xdr:col>5</xdr:col>
      <xdr:colOff>367915</xdr:colOff>
      <xdr:row>15</xdr:row>
      <xdr:rowOff>158150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46FBB5C-3B90-4D39-8B33-C862C5E286FE}"/>
            </a:ext>
          </a:extLst>
        </xdr:cNvPr>
        <xdr:cNvSpPr/>
      </xdr:nvSpPr>
      <xdr:spPr>
        <a:xfrm>
          <a:off x="3377385" y="1731464"/>
          <a:ext cx="45719" cy="1122441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293442</xdr:colOff>
      <xdr:row>9</xdr:row>
      <xdr:rowOff>114012</xdr:rowOff>
    </xdr:from>
    <xdr:to>
      <xdr:col>14</xdr:col>
      <xdr:colOff>339161</xdr:colOff>
      <xdr:row>15</xdr:row>
      <xdr:rowOff>158151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B3C14CB-0A60-4622-9028-E75AA3BF415E}"/>
            </a:ext>
          </a:extLst>
        </xdr:cNvPr>
        <xdr:cNvSpPr/>
      </xdr:nvSpPr>
      <xdr:spPr>
        <a:xfrm>
          <a:off x="8847970" y="1731465"/>
          <a:ext cx="45719" cy="1122441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330679</xdr:colOff>
      <xdr:row>25</xdr:row>
      <xdr:rowOff>79075</xdr:rowOff>
    </xdr:from>
    <xdr:to>
      <xdr:col>8</xdr:col>
      <xdr:colOff>46222</xdr:colOff>
      <xdr:row>40</xdr:row>
      <xdr:rowOff>112873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A3E67E8-7CC7-41A9-A291-F8C114CCC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222849</xdr:colOff>
      <xdr:row>25</xdr:row>
      <xdr:rowOff>71886</xdr:rowOff>
    </xdr:from>
    <xdr:to>
      <xdr:col>15</xdr:col>
      <xdr:colOff>549430</xdr:colOff>
      <xdr:row>40</xdr:row>
      <xdr:rowOff>105684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F16C184-DBDF-4788-A7E1-3B5683E20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100641</xdr:colOff>
      <xdr:row>25</xdr:row>
      <xdr:rowOff>79075</xdr:rowOff>
    </xdr:from>
    <xdr:to>
      <xdr:col>23</xdr:col>
      <xdr:colOff>431771</xdr:colOff>
      <xdr:row>40</xdr:row>
      <xdr:rowOff>112874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E9C9E23-12CE-4BF3-86AC-9AF17373B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352246</xdr:colOff>
      <xdr:row>42</xdr:row>
      <xdr:rowOff>71887</xdr:rowOff>
    </xdr:from>
    <xdr:to>
      <xdr:col>8</xdr:col>
      <xdr:colOff>111043</xdr:colOff>
      <xdr:row>57</xdr:row>
      <xdr:rowOff>127457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09A8E88-DCA1-406A-B580-A32C91436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301924</xdr:colOff>
      <xdr:row>42</xdr:row>
      <xdr:rowOff>79076</xdr:rowOff>
    </xdr:from>
    <xdr:to>
      <xdr:col>16</xdr:col>
      <xdr:colOff>17467</xdr:colOff>
      <xdr:row>57</xdr:row>
      <xdr:rowOff>112874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D753C24-92A6-4F2B-B822-414FB7A10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172528</xdr:colOff>
      <xdr:row>42</xdr:row>
      <xdr:rowOff>57509</xdr:rowOff>
    </xdr:from>
    <xdr:to>
      <xdr:col>23</xdr:col>
      <xdr:colOff>499109</xdr:colOff>
      <xdr:row>57</xdr:row>
      <xdr:rowOff>91307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76F64DF-6E8F-40C3-BD93-B0E044D3B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359833</xdr:colOff>
      <xdr:row>59</xdr:row>
      <xdr:rowOff>86294</xdr:rowOff>
    </xdr:from>
    <xdr:to>
      <xdr:col>8</xdr:col>
      <xdr:colOff>57560</xdr:colOff>
      <xdr:row>74</xdr:row>
      <xdr:rowOff>117097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DF64A7B-AA4E-4D01-ABE1-DC267CAF0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399143</xdr:colOff>
      <xdr:row>59</xdr:row>
      <xdr:rowOff>18144</xdr:rowOff>
    </xdr:from>
    <xdr:to>
      <xdr:col>18</xdr:col>
      <xdr:colOff>108857</xdr:colOff>
      <xdr:row>81</xdr:row>
      <xdr:rowOff>127000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85BFA22-F726-46CC-9F66-7FBB347F6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</xdr:row>
      <xdr:rowOff>68580</xdr:rowOff>
    </xdr:from>
    <xdr:to>
      <xdr:col>12</xdr:col>
      <xdr:colOff>601980</xdr:colOff>
      <xdr:row>45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B34C36-2B72-C87D-88C8-87783C771FCE}"/>
            </a:ext>
          </a:extLst>
        </xdr:cNvPr>
        <xdr:cNvSpPr txBox="1"/>
      </xdr:nvSpPr>
      <xdr:spPr>
        <a:xfrm>
          <a:off x="3375660" y="251460"/>
          <a:ext cx="4541520" cy="8107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IN" sz="1800" b="1"/>
            <a:t>Analysis of 1,470 employees shows a 16.1% overall attrition rate, heavily concentrated in a specific persona: young, single, underpaid Sales Representatives working overtime with long commutes.</a:t>
          </a:r>
          <a:br>
            <a:rPr lang="en-IN" sz="1800" b="1"/>
          </a:br>
          <a:r>
            <a:rPr lang="en-IN" sz="1800" b="1"/>
            <a:t>1.Job Role</a:t>
          </a:r>
          <a:r>
            <a:rPr lang="en-IN" sz="1800"/>
            <a:t> — Sales Representatives leave at </a:t>
          </a:r>
          <a:r>
            <a:rPr lang="en-IN" sz="1800" b="1"/>
            <a:t>39.8% vs 2.5% </a:t>
          </a:r>
          <a:r>
            <a:rPr lang="en-IN" sz="1800"/>
            <a:t>for Research Directors </a:t>
          </a:r>
          <a:r>
            <a:rPr lang="en-IN" sz="1800" b="1"/>
            <a:t>(16x gap) </a:t>
          </a:r>
          <a:r>
            <a:rPr lang="en-IN" sz="1800"/>
            <a:t>— the single strongest predictor of attrition.</a:t>
          </a:r>
        </a:p>
        <a:p>
          <a:pPr lvl="0"/>
          <a:r>
            <a:rPr lang="en-IN" sz="1800" b="1"/>
            <a:t>2.OverTime</a:t>
          </a:r>
          <a:r>
            <a:rPr lang="en-IN" sz="1800"/>
            <a:t> — </a:t>
          </a:r>
          <a:r>
            <a:rPr lang="en-IN" sz="1800" b="1"/>
            <a:t>30.5% vs 10.4% </a:t>
          </a:r>
          <a:r>
            <a:rPr lang="en-IN" sz="1800"/>
            <a:t>— employees working overtime leave 3x more often.</a:t>
          </a:r>
        </a:p>
        <a:p>
          <a:pPr lvl="0"/>
          <a:r>
            <a:rPr lang="en-IN" sz="1800" b="1"/>
            <a:t>3.Age Group</a:t>
          </a:r>
          <a:r>
            <a:rPr lang="en-IN" sz="1800"/>
            <a:t> — 18-24 year-olds leave at </a:t>
          </a:r>
          <a:r>
            <a:rPr lang="en-IN" sz="1800" b="1"/>
            <a:t>39.2% vs 10.1% </a:t>
          </a:r>
          <a:r>
            <a:rPr lang="en-IN" sz="1800"/>
            <a:t>for 35-44 — early-career employees are the highest flight risk.</a:t>
          </a:r>
        </a:p>
        <a:p>
          <a:pPr lvl="0"/>
          <a:r>
            <a:rPr lang="en-IN" sz="1800" b="1"/>
            <a:t>4.Work-Life Balance</a:t>
          </a:r>
          <a:r>
            <a:rPr lang="en-IN" sz="1800"/>
            <a:t> — "Bad" balance sees </a:t>
          </a:r>
          <a:r>
            <a:rPr lang="en-IN" sz="1800" b="1"/>
            <a:t>31.3% attrition vs 14.2% </a:t>
          </a:r>
          <a:r>
            <a:rPr lang="en-IN" sz="1800"/>
            <a:t>for "Better" — though "Best" isn't actually the lowest, suggesting moderate balance is the sweet spot.</a:t>
          </a:r>
        </a:p>
        <a:p>
          <a:pPr lvl="0"/>
          <a:r>
            <a:rPr lang="en-IN" sz="1800" b="1"/>
            <a:t>5.Marital Status</a:t>
          </a:r>
          <a:r>
            <a:rPr lang="en-IN" sz="1800"/>
            <a:t> — Singles leave at </a:t>
          </a:r>
          <a:r>
            <a:rPr lang="en-IN" sz="1800" b="1"/>
            <a:t>25.5% vs 10.1%</a:t>
          </a:r>
          <a:r>
            <a:rPr lang="en-IN" sz="1800"/>
            <a:t> for divorced employees.</a:t>
          </a:r>
        </a:p>
        <a:p>
          <a:pPr lvl="0"/>
          <a:r>
            <a:rPr lang="en-IN" sz="1800" b="1"/>
            <a:t>6.Salary</a:t>
          </a:r>
          <a:r>
            <a:rPr lang="en-IN" sz="1800"/>
            <a:t> — Lowest earners leave at </a:t>
          </a:r>
          <a:r>
            <a:rPr lang="en-IN" sz="1800" b="1"/>
            <a:t>20.1% vs 3.8% </a:t>
          </a:r>
          <a:r>
            <a:rPr lang="en-IN" sz="1800"/>
            <a:t>for top earners (5x gap).</a:t>
          </a:r>
        </a:p>
        <a:p>
          <a:pPr lvl="0"/>
          <a:r>
            <a:rPr lang="en-IN" sz="1800" b="1"/>
            <a:t>7.Distance From Home</a:t>
          </a:r>
          <a:r>
            <a:rPr lang="en-IN" sz="1800"/>
            <a:t> — </a:t>
          </a:r>
          <a:r>
            <a:rPr lang="en-IN" sz="1800" b="1"/>
            <a:t>27.4% </a:t>
          </a:r>
          <a:r>
            <a:rPr lang="en-IN" sz="1800"/>
            <a:t>attrition at 21-25km commute vs </a:t>
          </a:r>
          <a:r>
            <a:rPr lang="en-IN" sz="1800" b="1"/>
            <a:t>13.8% </a:t>
          </a:r>
          <a:r>
            <a:rPr lang="en-IN" sz="1800"/>
            <a:t>at 1-5km.</a:t>
          </a:r>
        </a:p>
        <a:p>
          <a:pPr lvl="0"/>
          <a:r>
            <a:rPr lang="en-IN" sz="1800" b="1"/>
            <a:t>8.Years in Current Role</a:t>
          </a:r>
          <a:r>
            <a:rPr lang="en-IN" sz="1800"/>
            <a:t> </a:t>
          </a:r>
          <a:r>
            <a:rPr lang="en-IN" sz="1800" b="1"/>
            <a:t>— 29.9% </a:t>
          </a:r>
          <a:r>
            <a:rPr lang="en-IN" sz="1800"/>
            <a:t>attrition under 1 year in-role, dropping to </a:t>
          </a:r>
          <a:r>
            <a:rPr lang="en-IN" sz="1800" b="1"/>
            <a:t>7.7% </a:t>
          </a:r>
          <a:r>
            <a:rPr lang="en-IN" sz="1800"/>
            <a:t>at 11-15 years — new role transitions are the riskiest period.</a:t>
          </a:r>
        </a:p>
        <a:p>
          <a:pPr algn="l"/>
          <a:endParaRPr lang="en-IN" sz="1800" b="1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83D6436-A406-4646-9217-F63A38C6EC14}" autoFormatId="16" applyNumberFormats="0" applyBorderFormats="0" applyFontFormats="0" applyPatternFormats="0" applyAlignmentFormats="0" applyWidthHeightFormats="0">
  <queryTableRefresh nextId="5">
    <queryTableFields count="4">
      <queryTableField id="1" name="overtime" tableColumnId="1"/>
      <queryTableField id="2" name="total" tableColumnId="2"/>
      <queryTableField id="3" name="leftcount" tableColumnId="3"/>
      <queryTableField id="4" name="round_perc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6868EBE-C941-43C5-B7F6-799A182E3671}" autoFormatId="16" applyNumberFormats="0" applyBorderFormats="0" applyFontFormats="0" applyPatternFormats="0" applyAlignmentFormats="0" applyWidthHeightFormats="0">
  <queryTableRefresh nextId="5">
    <queryTableFields count="4">
      <queryTableField id="1" name="salary" tableColumnId="1"/>
      <queryTableField id="2" name="total" tableColumnId="2"/>
      <queryTableField id="3" name="leftcount" tableColumnId="3"/>
      <queryTableField id="4" name="round_perc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BB56F9-B7EC-462E-B524-25FAE455C980}" autoFormatId="16" applyNumberFormats="0" applyBorderFormats="0" applyFontFormats="0" applyPatternFormats="0" applyAlignmentFormats="0" applyWidthHeightFormats="0">
  <queryTableRefresh nextId="5">
    <queryTableFields count="4">
      <queryTableField id="1" name="maritalstatus" tableColumnId="1"/>
      <queryTableField id="2" name="total" tableColumnId="2"/>
      <queryTableField id="3" name="leftcount" tableColumnId="3"/>
      <queryTableField id="4" name="round_perc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0A69F53-E717-434C-A180-36E271BA7782}" autoFormatId="16" applyNumberFormats="0" applyBorderFormats="0" applyFontFormats="0" applyPatternFormats="0" applyAlignmentFormats="0" applyWidthHeightFormats="0">
  <queryTableRefresh nextId="5">
    <queryTableFields count="4">
      <queryTableField id="1" name="agegroup" tableColumnId="1"/>
      <queryTableField id="2" name="total" tableColumnId="2"/>
      <queryTableField id="3" name="leftcount" tableColumnId="3"/>
      <queryTableField id="4" name="round_perc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5C2D4EB-9E9E-4BF3-BAE9-F3D576FD138C}" autoFormatId="16" applyNumberFormats="0" applyBorderFormats="0" applyFontFormats="0" applyPatternFormats="0" applyAlignmentFormats="0" applyWidthHeightFormats="0">
  <queryTableRefresh nextId="5">
    <queryTableFields count="4">
      <queryTableField id="1" name="lifebalance" tableColumnId="1"/>
      <queryTableField id="2" name="total" tableColumnId="2"/>
      <queryTableField id="3" name="leftcount" tableColumnId="3"/>
      <queryTableField id="4" name="round_perc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3FA5D44-0D0A-4F0D-8C84-58F1708E4AB6}" autoFormatId="16" applyNumberFormats="0" applyBorderFormats="0" applyFontFormats="0" applyPatternFormats="0" applyAlignmentFormats="0" applyWidthHeightFormats="0">
  <queryTableRefresh nextId="5">
    <queryTableFields count="4">
      <queryTableField id="1" name="distancegroup" tableColumnId="1"/>
      <queryTableField id="2" name="total" tableColumnId="2"/>
      <queryTableField id="3" name="leftcount" tableColumnId="3"/>
      <queryTableField id="4" name="round_perc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7878A78-2FE1-4279-A3DD-3D3D9C13AD36}" autoFormatId="16" applyNumberFormats="0" applyBorderFormats="0" applyFontFormats="0" applyPatternFormats="0" applyAlignmentFormats="0" applyWidthHeightFormats="0">
  <queryTableRefresh nextId="5">
    <queryTableFields count="4">
      <queryTableField id="1" name="yearsincurrent" tableColumnId="1"/>
      <queryTableField id="2" name="total" tableColumnId="2"/>
      <queryTableField id="3" name="leftcount" tableColumnId="3"/>
      <queryTableField id="4" name="round_perc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823F78-003D-438B-902E-BD996B58F820}" autoFormatId="16" applyNumberFormats="0" applyBorderFormats="0" applyFontFormats="0" applyPatternFormats="0" applyAlignmentFormats="0" applyWidthHeightFormats="0">
  <queryTableRefresh nextId="5">
    <queryTableFields count="4">
      <queryTableField id="1" name="jobrole" tableColumnId="1"/>
      <queryTableField id="2" name="total" tableColumnId="2"/>
      <queryTableField id="3" name="leftcount" tableColumnId="3"/>
      <queryTableField id="4" name="round_perc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5EE41B-514B-4E8F-86B3-61BE842054F6}" name="SQLite_35__1" displayName="SQLite_35__1" ref="A1:D3" tableType="queryTable" totalsRowShown="0">
  <autoFilter ref="A1:D3" xr:uid="{5C5EE41B-514B-4E8F-86B3-61BE842054F6}"/>
  <tableColumns count="4">
    <tableColumn id="1" xr3:uid="{94D6DECF-B175-4DCE-A452-CF1DEE320699}" uniqueName="1" name="overtime" queryTableFieldId="1" dataDxfId="7"/>
    <tableColumn id="2" xr3:uid="{2DD5C0BC-74A6-47CD-9264-9AE8634F00B3}" uniqueName="2" name="total" queryTableFieldId="2"/>
    <tableColumn id="3" xr3:uid="{F3BBCF2E-C91D-4070-899E-AA369147597A}" uniqueName="3" name="leftcount" queryTableFieldId="3"/>
    <tableColumn id="4" xr3:uid="{4EEDD131-4E45-4A09-8736-150BDEE6DB40}" uniqueName="4" name="round_perc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FC5C73-B7BC-4633-A9CD-BCC755833BB1}" name="SQLite_26_csv" displayName="SQLite_26_csv" ref="A1:D5" tableType="queryTable" totalsRowShown="0">
  <autoFilter ref="A1:D5" xr:uid="{4BFC5C73-B7BC-4633-A9CD-BCC755833BB1}"/>
  <sortState xmlns:xlrd2="http://schemas.microsoft.com/office/spreadsheetml/2017/richdata2" ref="A2:D5">
    <sortCondition ref="A2:A5" customList="1000-5550,5550-10000,10000-15000,15000+"/>
  </sortState>
  <tableColumns count="4">
    <tableColumn id="1" xr3:uid="{604594C4-0865-4F0D-9968-861193B9A7EB}" uniqueName="1" name="salary" queryTableFieldId="1" dataDxfId="6"/>
    <tableColumn id="2" xr3:uid="{1572DE1E-E67A-428C-922D-6A0A4E513F4E}" uniqueName="2" name="total" queryTableFieldId="2"/>
    <tableColumn id="3" xr3:uid="{747D1E5A-B2E6-4CCB-AC76-068D2182D31B}" uniqueName="3" name="leftcount" queryTableFieldId="3"/>
    <tableColumn id="4" xr3:uid="{0C449F9F-FBC3-4626-9906-29BBABE2041C}" uniqueName="4" name="round_perc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C677F-830E-4EB1-BDA4-8695442EA799}" name="SQLite_26__2__csv" displayName="SQLite_26__2__csv" ref="A1:D4" tableType="queryTable" totalsRowShown="0">
  <autoFilter ref="A1:D4" xr:uid="{9E6C677F-830E-4EB1-BDA4-8695442EA799}"/>
  <tableColumns count="4">
    <tableColumn id="1" xr3:uid="{1B02E646-7DEF-41CA-B5D0-703D38F17FAC}" uniqueName="1" name="maritalstatus" queryTableFieldId="1" dataDxfId="5"/>
    <tableColumn id="2" xr3:uid="{45741610-50B6-46BA-A38F-17D319FA83BF}" uniqueName="2" name="total" queryTableFieldId="2"/>
    <tableColumn id="3" xr3:uid="{500748B5-AC9F-47A6-9140-AA0A48EE8D0B}" uniqueName="3" name="leftcount" queryTableFieldId="3"/>
    <tableColumn id="4" xr3:uid="{D86A7545-9138-49DC-9CC5-87FFE51C0253}" uniqueName="4" name="round_perc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1BB532-EF05-443A-A6BE-A7652DA8F499}" name="SQLite_26__3__csv" displayName="SQLite_26__3__csv" ref="A1:D6" tableType="queryTable" totalsRowShown="0">
  <autoFilter ref="A1:D6" xr:uid="{301BB532-EF05-443A-A6BE-A7652DA8F499}"/>
  <sortState xmlns:xlrd2="http://schemas.microsoft.com/office/spreadsheetml/2017/richdata2" ref="A2:D6">
    <sortCondition ref="A1:A6"/>
  </sortState>
  <tableColumns count="4">
    <tableColumn id="1" xr3:uid="{35BEFAE5-8C14-469E-9BA0-9935B7C869BE}" uniqueName="1" name="agegroup" queryTableFieldId="1" dataDxfId="4"/>
    <tableColumn id="2" xr3:uid="{2E4626C7-ED03-4AA0-BB6F-B7400F60699D}" uniqueName="2" name="total" queryTableFieldId="2"/>
    <tableColumn id="3" xr3:uid="{5F89B1F2-889A-4A9B-8A5E-6DE8C7791AC7}" uniqueName="3" name="leftcount" queryTableFieldId="3"/>
    <tableColumn id="4" xr3:uid="{384E14BA-E227-4B37-8867-6D722CB2AFEC}" uniqueName="4" name="round_perc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9871DE-0A30-4213-9D5C-DD557A60F3E8}" name="SQLite_26__4__csv" displayName="SQLite_26__4__csv" ref="A1:D5" tableType="queryTable" totalsRowShown="0">
  <sortState xmlns:xlrd2="http://schemas.microsoft.com/office/spreadsheetml/2017/richdata2" ref="A2:D5">
    <sortCondition ref="A2:A5" customList="bad,good,best,better"/>
  </sortState>
  <tableColumns count="4">
    <tableColumn id="1" xr3:uid="{ABFC642A-BA91-48F1-AEF7-A25B27C9F30B}" uniqueName="1" name="lifebalance" queryTableFieldId="1" dataDxfId="3"/>
    <tableColumn id="2" xr3:uid="{4521B6F5-A787-4DE8-92FD-D08EFFD6E27E}" uniqueName="2" name="total" queryTableFieldId="2"/>
    <tableColumn id="3" xr3:uid="{9EF3F41A-B374-4648-9C52-1FB7A4FA25C7}" uniqueName="3" name="leftcount" queryTableFieldId="3"/>
    <tableColumn id="4" xr3:uid="{AFC10F59-5D55-4674-98AB-10DA9AEFDC76}" uniqueName="4" name="round_perc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8AA984-C2FA-4FC4-BDB4-8E1993DBFCAF}" name="SQLite_26__5__csv" displayName="SQLite_26__5__csv" ref="A1:D7" tableType="queryTable" totalsRowShown="0">
  <autoFilter ref="A1:D7" xr:uid="{BE8AA984-C2FA-4FC4-BDB4-8E1993DBFCAF}"/>
  <sortState xmlns:xlrd2="http://schemas.microsoft.com/office/spreadsheetml/2017/richdata2" ref="A2:D7">
    <sortCondition ref="A2:A7" customList="1-5,6-10,11-15,16-20,21-25,25+"/>
  </sortState>
  <tableColumns count="4">
    <tableColumn id="1" xr3:uid="{36CD23D7-8893-4372-BFCB-4FAADBE8DD70}" uniqueName="1" name="distancegroup" queryTableFieldId="1" dataDxfId="2"/>
    <tableColumn id="2" xr3:uid="{B06D6470-E6D8-46B3-9A09-C2523C988034}" uniqueName="2" name="total" queryTableFieldId="2"/>
    <tableColumn id="3" xr3:uid="{FCF9A03F-9DEB-457C-A1AF-994214BBDECC}" uniqueName="3" name="leftcount" queryTableFieldId="3"/>
    <tableColumn id="4" xr3:uid="{D74F0CAE-7F25-4705-966E-33713A22CBA0}" uniqueName="4" name="round_perc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D7A4EE-9533-4424-924B-22040DE64F46}" name="yearsin_currentrole" displayName="yearsin_currentrole" ref="A1:D6" tableType="queryTable" totalsRowShown="0">
  <autoFilter ref="A1:D6" xr:uid="{CFD7A4EE-9533-4424-924B-22040DE64F46}"/>
  <tableColumns count="4">
    <tableColumn id="1" xr3:uid="{AD9EBF3F-D0D6-4002-BDA8-7383034354BC}" uniqueName="1" name="yearsincurrent" queryTableFieldId="1" dataDxfId="1"/>
    <tableColumn id="2" xr3:uid="{75041B99-D460-485F-BF9F-B18C6B40A646}" uniqueName="2" name="total" queryTableFieldId="2"/>
    <tableColumn id="3" xr3:uid="{2E925E48-157E-43C4-9BFD-727D58F3202A}" uniqueName="3" name="leftcount" queryTableFieldId="3"/>
    <tableColumn id="4" xr3:uid="{7D9DDCCB-9E92-47BF-8443-1B118175220F}" uniqueName="4" name="round_perc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6AC211-0778-4B1B-8404-C202E5DB4D90}" name="job_role" displayName="job_role" ref="A1:D10" tableType="queryTable" totalsRowShown="0">
  <autoFilter ref="A1:D10" xr:uid="{E96AC211-0778-4B1B-8404-C202E5DB4D90}"/>
  <sortState xmlns:xlrd2="http://schemas.microsoft.com/office/spreadsheetml/2017/richdata2" ref="A2:D10">
    <sortCondition descending="1" ref="D1:D10"/>
  </sortState>
  <tableColumns count="4">
    <tableColumn id="1" xr3:uid="{B0A48737-A7F0-4638-89DC-39B5B0E08CFB}" uniqueName="1" name="jobrole" queryTableFieldId="1" dataDxfId="0"/>
    <tableColumn id="2" xr3:uid="{CDEBED39-2D4A-495B-87CE-230A15833C06}" uniqueName="2" name="total" queryTableFieldId="2"/>
    <tableColumn id="3" xr3:uid="{09953984-61AD-4790-9DAF-6FA0DEC1F39F}" uniqueName="3" name="leftcount" queryTableFieldId="3"/>
    <tableColumn id="4" xr3:uid="{FD0D0DB7-4F77-4A7E-9FD3-12591B77B1FD}" uniqueName="4" name="round_perc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55D4-36CD-45D5-A04C-959EE0E79CB4}">
  <dimension ref="A1:D3"/>
  <sheetViews>
    <sheetView workbookViewId="0">
      <selection activeCell="P15" sqref="P15"/>
    </sheetView>
  </sheetViews>
  <sheetFormatPr defaultRowHeight="14.4" x14ac:dyDescent="0.3"/>
  <cols>
    <col min="1" max="1" width="10.6640625" bestFit="1" customWidth="1"/>
    <col min="2" max="2" width="7.109375" bestFit="1" customWidth="1"/>
    <col min="3" max="3" width="10.6640625" bestFit="1" customWidth="1"/>
    <col min="4" max="4" width="1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1054</v>
      </c>
      <c r="C2">
        <v>110</v>
      </c>
      <c r="D2">
        <v>10.4</v>
      </c>
    </row>
    <row r="3" spans="1:4" x14ac:dyDescent="0.3">
      <c r="A3" s="1" t="s">
        <v>5</v>
      </c>
      <c r="B3">
        <v>416</v>
      </c>
      <c r="C3">
        <v>127</v>
      </c>
      <c r="D3">
        <v>30.5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BF10-9109-49A0-9D93-A1B60407A84C}">
  <dimension ref="A1:D5"/>
  <sheetViews>
    <sheetView workbookViewId="0">
      <selection sqref="A1:D5"/>
    </sheetView>
  </sheetViews>
  <sheetFormatPr defaultRowHeight="14.4" x14ac:dyDescent="0.3"/>
  <cols>
    <col min="1" max="1" width="11.6640625" bestFit="1" customWidth="1"/>
    <col min="2" max="2" width="7.109375" bestFit="1" customWidth="1"/>
    <col min="3" max="3" width="10.6640625" bestFit="1" customWidth="1"/>
    <col min="4" max="4" width="12.5546875" bestFit="1" customWidth="1"/>
  </cols>
  <sheetData>
    <row r="1" spans="1:4" x14ac:dyDescent="0.3">
      <c r="A1" t="s">
        <v>6</v>
      </c>
      <c r="B1" t="s">
        <v>1</v>
      </c>
      <c r="C1" t="s">
        <v>2</v>
      </c>
      <c r="D1" t="s">
        <v>3</v>
      </c>
    </row>
    <row r="2" spans="1:4" x14ac:dyDescent="0.3">
      <c r="A2" s="1" t="s">
        <v>7</v>
      </c>
      <c r="B2">
        <v>856</v>
      </c>
      <c r="C2">
        <v>172</v>
      </c>
      <c r="D2">
        <v>20.100000000000001</v>
      </c>
    </row>
    <row r="3" spans="1:4" x14ac:dyDescent="0.3">
      <c r="A3" s="1" t="s">
        <v>9</v>
      </c>
      <c r="B3">
        <v>333</v>
      </c>
      <c r="C3">
        <v>40</v>
      </c>
      <c r="D3">
        <v>12</v>
      </c>
    </row>
    <row r="4" spans="1:4" x14ac:dyDescent="0.3">
      <c r="A4" s="1" t="s">
        <v>8</v>
      </c>
      <c r="B4">
        <v>148</v>
      </c>
      <c r="C4">
        <v>20</v>
      </c>
      <c r="D4">
        <v>13.5</v>
      </c>
    </row>
    <row r="5" spans="1:4" x14ac:dyDescent="0.3">
      <c r="A5" s="1" t="s">
        <v>10</v>
      </c>
      <c r="B5">
        <v>133</v>
      </c>
      <c r="C5">
        <v>5</v>
      </c>
      <c r="D5">
        <v>3.8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96CF-02F2-4751-9008-23BC4FEEBD74}">
  <dimension ref="A1:D4"/>
  <sheetViews>
    <sheetView workbookViewId="0">
      <selection activeCell="N28" sqref="N28"/>
    </sheetView>
  </sheetViews>
  <sheetFormatPr defaultRowHeight="14.4" x14ac:dyDescent="0.3"/>
  <cols>
    <col min="1" max="1" width="14.44140625" bestFit="1" customWidth="1"/>
    <col min="2" max="2" width="7.109375" bestFit="1" customWidth="1"/>
    <col min="3" max="3" width="10.6640625" bestFit="1" customWidth="1"/>
    <col min="4" max="4" width="12.5546875" bestFit="1" customWidth="1"/>
  </cols>
  <sheetData>
    <row r="1" spans="1:4" x14ac:dyDescent="0.3">
      <c r="A1" t="s">
        <v>11</v>
      </c>
      <c r="B1" t="s">
        <v>1</v>
      </c>
      <c r="C1" t="s">
        <v>2</v>
      </c>
      <c r="D1" t="s">
        <v>3</v>
      </c>
    </row>
    <row r="2" spans="1:4" x14ac:dyDescent="0.3">
      <c r="A2" s="1" t="s">
        <v>12</v>
      </c>
      <c r="B2">
        <v>470</v>
      </c>
      <c r="C2">
        <v>120</v>
      </c>
      <c r="D2">
        <v>25.5</v>
      </c>
    </row>
    <row r="3" spans="1:4" x14ac:dyDescent="0.3">
      <c r="A3" s="1" t="s">
        <v>13</v>
      </c>
      <c r="B3">
        <v>673</v>
      </c>
      <c r="C3">
        <v>84</v>
      </c>
      <c r="D3">
        <v>12.5</v>
      </c>
    </row>
    <row r="4" spans="1:4" x14ac:dyDescent="0.3">
      <c r="A4" s="1" t="s">
        <v>14</v>
      </c>
      <c r="B4">
        <v>327</v>
      </c>
      <c r="C4">
        <v>33</v>
      </c>
      <c r="D4">
        <v>10.1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C144-5DBD-4E0D-B45E-F6425BBB9A5D}">
  <dimension ref="A1:D6"/>
  <sheetViews>
    <sheetView workbookViewId="0">
      <selection activeCell="Q12" sqref="Q12"/>
    </sheetView>
  </sheetViews>
  <sheetFormatPr defaultRowHeight="14.4" x14ac:dyDescent="0.3"/>
  <cols>
    <col min="1" max="1" width="10.77734375" bestFit="1" customWidth="1"/>
    <col min="2" max="2" width="7.109375" bestFit="1" customWidth="1"/>
    <col min="3" max="3" width="10.6640625" bestFit="1" customWidth="1"/>
    <col min="4" max="4" width="12.5546875" bestFit="1" customWidth="1"/>
  </cols>
  <sheetData>
    <row r="1" spans="1:4" x14ac:dyDescent="0.3">
      <c r="A1" t="s">
        <v>15</v>
      </c>
      <c r="B1" t="s">
        <v>1</v>
      </c>
      <c r="C1" t="s">
        <v>2</v>
      </c>
      <c r="D1" t="s">
        <v>3</v>
      </c>
    </row>
    <row r="2" spans="1:4" x14ac:dyDescent="0.3">
      <c r="A2" s="1" t="s">
        <v>20</v>
      </c>
      <c r="B2">
        <v>97</v>
      </c>
      <c r="C2">
        <v>38</v>
      </c>
      <c r="D2">
        <v>39.200000000000003</v>
      </c>
    </row>
    <row r="3" spans="1:4" x14ac:dyDescent="0.3">
      <c r="A3" s="1" t="s">
        <v>19</v>
      </c>
      <c r="B3">
        <v>554</v>
      </c>
      <c r="C3">
        <v>112</v>
      </c>
      <c r="D3">
        <v>20.2</v>
      </c>
    </row>
    <row r="4" spans="1:4" x14ac:dyDescent="0.3">
      <c r="A4" s="1" t="s">
        <v>16</v>
      </c>
      <c r="B4">
        <v>505</v>
      </c>
      <c r="C4">
        <v>51</v>
      </c>
      <c r="D4">
        <v>10.1</v>
      </c>
    </row>
    <row r="5" spans="1:4" x14ac:dyDescent="0.3">
      <c r="A5" s="1" t="s">
        <v>17</v>
      </c>
      <c r="B5">
        <v>245</v>
      </c>
      <c r="C5">
        <v>25</v>
      </c>
      <c r="D5">
        <v>10.199999999999999</v>
      </c>
    </row>
    <row r="6" spans="1:4" x14ac:dyDescent="0.3">
      <c r="A6" s="1" t="s">
        <v>18</v>
      </c>
      <c r="B6">
        <v>69</v>
      </c>
      <c r="C6">
        <v>11</v>
      </c>
      <c r="D6">
        <v>15.9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A7D6-BEA5-47D1-A47E-4F62EF9F1407}">
  <dimension ref="A1:D5"/>
  <sheetViews>
    <sheetView workbookViewId="0">
      <selection sqref="A1:D5"/>
    </sheetView>
  </sheetViews>
  <sheetFormatPr defaultRowHeight="14.4" x14ac:dyDescent="0.3"/>
  <cols>
    <col min="1" max="1" width="12.5546875" bestFit="1" customWidth="1"/>
    <col min="2" max="2" width="7.109375" bestFit="1" customWidth="1"/>
    <col min="3" max="3" width="10.6640625" bestFit="1" customWidth="1"/>
    <col min="4" max="4" width="12.5546875" bestFit="1" customWidth="1"/>
  </cols>
  <sheetData>
    <row r="1" spans="1:4" x14ac:dyDescent="0.3">
      <c r="A1" t="s">
        <v>21</v>
      </c>
      <c r="B1" t="s">
        <v>1</v>
      </c>
      <c r="C1" t="s">
        <v>2</v>
      </c>
      <c r="D1" t="s">
        <v>3</v>
      </c>
    </row>
    <row r="2" spans="1:4" x14ac:dyDescent="0.3">
      <c r="A2" s="1" t="s">
        <v>22</v>
      </c>
      <c r="B2">
        <v>80</v>
      </c>
      <c r="C2">
        <v>25</v>
      </c>
      <c r="D2">
        <v>31.3</v>
      </c>
    </row>
    <row r="3" spans="1:4" x14ac:dyDescent="0.3">
      <c r="A3" s="1" t="s">
        <v>24</v>
      </c>
      <c r="B3">
        <v>344</v>
      </c>
      <c r="C3">
        <v>58</v>
      </c>
      <c r="D3">
        <v>16.899999999999999</v>
      </c>
    </row>
    <row r="4" spans="1:4" x14ac:dyDescent="0.3">
      <c r="A4" s="1" t="s">
        <v>23</v>
      </c>
      <c r="B4">
        <v>153</v>
      </c>
      <c r="C4">
        <v>27</v>
      </c>
      <c r="D4">
        <v>17.600000000000001</v>
      </c>
    </row>
    <row r="5" spans="1:4" x14ac:dyDescent="0.3">
      <c r="A5" s="1" t="s">
        <v>25</v>
      </c>
      <c r="B5">
        <v>893</v>
      </c>
      <c r="C5">
        <v>127</v>
      </c>
      <c r="D5">
        <v>14.2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CD40-60B8-4913-8418-E90967FAB2EF}">
  <dimension ref="A1:D7"/>
  <sheetViews>
    <sheetView workbookViewId="0">
      <selection activeCell="G18" sqref="G18"/>
    </sheetView>
  </sheetViews>
  <sheetFormatPr defaultRowHeight="14.4" x14ac:dyDescent="0.3"/>
  <cols>
    <col min="1" max="1" width="15.109375" bestFit="1" customWidth="1"/>
    <col min="2" max="2" width="7.109375" bestFit="1" customWidth="1"/>
    <col min="3" max="3" width="10.6640625" bestFit="1" customWidth="1"/>
    <col min="4" max="4" width="12.5546875" bestFit="1" customWidth="1"/>
  </cols>
  <sheetData>
    <row r="1" spans="1:4" x14ac:dyDescent="0.3">
      <c r="A1" t="s">
        <v>26</v>
      </c>
      <c r="B1" t="s">
        <v>1</v>
      </c>
      <c r="C1" t="s">
        <v>2</v>
      </c>
      <c r="D1" t="s">
        <v>3</v>
      </c>
    </row>
    <row r="2" spans="1:4" x14ac:dyDescent="0.3">
      <c r="A2" s="1" t="s">
        <v>32</v>
      </c>
      <c r="B2">
        <v>632</v>
      </c>
      <c r="C2">
        <v>87</v>
      </c>
      <c r="D2">
        <v>13.8</v>
      </c>
    </row>
    <row r="3" spans="1:4" x14ac:dyDescent="0.3">
      <c r="A3" s="1" t="s">
        <v>31</v>
      </c>
      <c r="B3">
        <v>394</v>
      </c>
      <c r="C3">
        <v>57</v>
      </c>
      <c r="D3">
        <v>14.5</v>
      </c>
    </row>
    <row r="4" spans="1:4" x14ac:dyDescent="0.3">
      <c r="A4" s="1" t="s">
        <v>28</v>
      </c>
      <c r="B4">
        <v>115</v>
      </c>
      <c r="C4">
        <v>25</v>
      </c>
      <c r="D4">
        <v>21.7</v>
      </c>
    </row>
    <row r="5" spans="1:4" x14ac:dyDescent="0.3">
      <c r="A5" s="1" t="s">
        <v>29</v>
      </c>
      <c r="B5">
        <v>125</v>
      </c>
      <c r="C5">
        <v>23</v>
      </c>
      <c r="D5">
        <v>18.399999999999999</v>
      </c>
    </row>
    <row r="6" spans="1:4" x14ac:dyDescent="0.3">
      <c r="A6" s="1" t="s">
        <v>27</v>
      </c>
      <c r="B6">
        <v>117</v>
      </c>
      <c r="C6">
        <v>32</v>
      </c>
      <c r="D6">
        <v>27.4</v>
      </c>
    </row>
    <row r="7" spans="1:4" x14ac:dyDescent="0.3">
      <c r="A7" s="1" t="s">
        <v>30</v>
      </c>
      <c r="B7">
        <v>87</v>
      </c>
      <c r="C7">
        <v>13</v>
      </c>
      <c r="D7">
        <v>14.9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A0C5-160C-4C5C-850A-104DAD5283CA}">
  <dimension ref="A1:D6"/>
  <sheetViews>
    <sheetView workbookViewId="0">
      <selection activeCell="Q12" sqref="Q12"/>
    </sheetView>
  </sheetViews>
  <sheetFormatPr defaultRowHeight="14.4" x14ac:dyDescent="0.3"/>
  <cols>
    <col min="1" max="1" width="15.33203125" bestFit="1" customWidth="1"/>
    <col min="2" max="2" width="7.109375" bestFit="1" customWidth="1"/>
    <col min="3" max="3" width="10.6640625" bestFit="1" customWidth="1"/>
    <col min="4" max="4" width="12.5546875" bestFit="1" customWidth="1"/>
  </cols>
  <sheetData>
    <row r="1" spans="1:4" x14ac:dyDescent="0.3">
      <c r="A1" t="s">
        <v>33</v>
      </c>
      <c r="B1" t="s">
        <v>1</v>
      </c>
      <c r="C1" t="s">
        <v>2</v>
      </c>
      <c r="D1" t="s">
        <v>3</v>
      </c>
    </row>
    <row r="2" spans="1:4" x14ac:dyDescent="0.3">
      <c r="A2" s="1" t="s">
        <v>34</v>
      </c>
      <c r="B2">
        <v>244</v>
      </c>
      <c r="C2">
        <v>73</v>
      </c>
      <c r="D2">
        <v>29.9</v>
      </c>
    </row>
    <row r="3" spans="1:4" x14ac:dyDescent="0.3">
      <c r="A3" s="1" t="s">
        <v>32</v>
      </c>
      <c r="B3">
        <v>704</v>
      </c>
      <c r="C3">
        <v>111</v>
      </c>
      <c r="D3">
        <v>15.8</v>
      </c>
    </row>
    <row r="4" spans="1:4" x14ac:dyDescent="0.3">
      <c r="A4" s="1" t="s">
        <v>31</v>
      </c>
      <c r="B4">
        <v>444</v>
      </c>
      <c r="C4">
        <v>48</v>
      </c>
      <c r="D4">
        <v>10.8</v>
      </c>
    </row>
    <row r="5" spans="1:4" x14ac:dyDescent="0.3">
      <c r="A5" s="1" t="s">
        <v>28</v>
      </c>
      <c r="B5">
        <v>65</v>
      </c>
      <c r="C5">
        <v>5</v>
      </c>
      <c r="D5">
        <v>7.7</v>
      </c>
    </row>
    <row r="6" spans="1:4" x14ac:dyDescent="0.3">
      <c r="A6" s="1" t="s">
        <v>35</v>
      </c>
      <c r="B6">
        <v>13</v>
      </c>
      <c r="C6">
        <v>0</v>
      </c>
      <c r="D6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02B2-B4AC-4CA8-A8B6-3E14201B9133}">
  <dimension ref="A1:D10"/>
  <sheetViews>
    <sheetView workbookViewId="0">
      <selection activeCell="G15" sqref="G15"/>
    </sheetView>
  </sheetViews>
  <sheetFormatPr defaultRowHeight="14.4" x14ac:dyDescent="0.3"/>
  <cols>
    <col min="1" max="1" width="22.6640625" bestFit="1" customWidth="1"/>
    <col min="2" max="2" width="7.109375" bestFit="1" customWidth="1"/>
    <col min="3" max="3" width="10.6640625" bestFit="1" customWidth="1"/>
    <col min="4" max="4" width="12.5546875" bestFit="1" customWidth="1"/>
  </cols>
  <sheetData>
    <row r="1" spans="1:4" x14ac:dyDescent="0.3">
      <c r="A1" t="s">
        <v>36</v>
      </c>
      <c r="B1" t="s">
        <v>1</v>
      </c>
      <c r="C1" t="s">
        <v>2</v>
      </c>
      <c r="D1" t="s">
        <v>3</v>
      </c>
    </row>
    <row r="2" spans="1:4" x14ac:dyDescent="0.3">
      <c r="A2" s="1" t="s">
        <v>37</v>
      </c>
      <c r="B2">
        <v>83</v>
      </c>
      <c r="C2">
        <v>33</v>
      </c>
      <c r="D2">
        <v>39.799999999999997</v>
      </c>
    </row>
    <row r="3" spans="1:4" x14ac:dyDescent="0.3">
      <c r="A3" s="1" t="s">
        <v>38</v>
      </c>
      <c r="B3">
        <v>259</v>
      </c>
      <c r="C3">
        <v>62</v>
      </c>
      <c r="D3">
        <v>23.9</v>
      </c>
    </row>
    <row r="4" spans="1:4" x14ac:dyDescent="0.3">
      <c r="A4" s="1" t="s">
        <v>39</v>
      </c>
      <c r="B4">
        <v>52</v>
      </c>
      <c r="C4">
        <v>12</v>
      </c>
      <c r="D4">
        <v>23.1</v>
      </c>
    </row>
    <row r="5" spans="1:4" x14ac:dyDescent="0.3">
      <c r="A5" s="1" t="s">
        <v>40</v>
      </c>
      <c r="B5">
        <v>326</v>
      </c>
      <c r="C5">
        <v>57</v>
      </c>
      <c r="D5">
        <v>17.5</v>
      </c>
    </row>
    <row r="6" spans="1:4" x14ac:dyDescent="0.3">
      <c r="A6" s="1" t="s">
        <v>41</v>
      </c>
      <c r="B6">
        <v>292</v>
      </c>
      <c r="C6">
        <v>47</v>
      </c>
      <c r="D6">
        <v>16.100000000000001</v>
      </c>
    </row>
    <row r="7" spans="1:4" x14ac:dyDescent="0.3">
      <c r="A7" s="1" t="s">
        <v>43</v>
      </c>
      <c r="B7">
        <v>131</v>
      </c>
      <c r="C7">
        <v>9</v>
      </c>
      <c r="D7">
        <v>6.9</v>
      </c>
    </row>
    <row r="8" spans="1:4" x14ac:dyDescent="0.3">
      <c r="A8" s="1" t="s">
        <v>42</v>
      </c>
      <c r="B8">
        <v>145</v>
      </c>
      <c r="C8">
        <v>10</v>
      </c>
      <c r="D8">
        <v>6.9</v>
      </c>
    </row>
    <row r="9" spans="1:4" x14ac:dyDescent="0.3">
      <c r="A9" s="1" t="s">
        <v>44</v>
      </c>
      <c r="B9">
        <v>102</v>
      </c>
      <c r="C9">
        <v>5</v>
      </c>
      <c r="D9">
        <v>4.9000000000000004</v>
      </c>
    </row>
    <row r="10" spans="1:4" x14ac:dyDescent="0.3">
      <c r="A10" s="1" t="s">
        <v>45</v>
      </c>
      <c r="B10">
        <v>80</v>
      </c>
      <c r="C10">
        <v>2</v>
      </c>
      <c r="D10">
        <v>2.5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A94A-3180-4A41-B8C2-99507F93246B}">
  <dimension ref="A1"/>
  <sheetViews>
    <sheetView topLeftCell="J1" zoomScale="67" workbookViewId="0">
      <selection activeCell="B11" sqref="B11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F541-5EBE-4DDE-89D5-B33C538F963E}">
  <dimension ref="X69"/>
  <sheetViews>
    <sheetView showGridLines="0" tabSelected="1" topLeftCell="A23" zoomScale="65" workbookViewId="0">
      <selection activeCell="AA32" sqref="AA32"/>
    </sheetView>
  </sheetViews>
  <sheetFormatPr defaultRowHeight="14.4" x14ac:dyDescent="0.3"/>
  <cols>
    <col min="1" max="16384" width="8.88671875" style="2"/>
  </cols>
  <sheetData>
    <row r="69" spans="24:24" x14ac:dyDescent="0.3">
      <c r="X69" s="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EC7E-3D19-4F2D-B389-5BDC1FE270FF}">
  <dimension ref="A1"/>
  <sheetViews>
    <sheetView showGridLines="0" showRowColHeaders="0" topLeftCell="A7" zoomScale="75" workbookViewId="0">
      <selection activeCell="N51" sqref="N51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9EEB96E62C9D4DB6E75A00B0FB3AE1" ma:contentTypeVersion="8" ma:contentTypeDescription="Create a new document." ma:contentTypeScope="" ma:versionID="983ee85c149281764e703c6d1c5de3e6">
  <xsd:schema xmlns:xsd="http://www.w3.org/2001/XMLSchema" xmlns:xs="http://www.w3.org/2001/XMLSchema" xmlns:p="http://schemas.microsoft.com/office/2006/metadata/properties" xmlns:ns3="ae26526f-3e05-440e-b0c6-444e0c7ea36a" xmlns:ns4="f9977846-878e-4cf7-99ce-fb98a8891fd2" targetNamespace="http://schemas.microsoft.com/office/2006/metadata/properties" ma:root="true" ma:fieldsID="ce892a3425bb48423bc5e3a7632fe7de" ns3:_="" ns4:_="">
    <xsd:import namespace="ae26526f-3e05-440e-b0c6-444e0c7ea36a"/>
    <xsd:import namespace="f9977846-878e-4cf7-99ce-fb98a8891fd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6526f-3e05-440e-b0c6-444e0c7ea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977846-878e-4cf7-99ce-fb98a8891fd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26526f-3e05-440e-b0c6-444e0c7ea36a" xsi:nil="true"/>
  </documentManagement>
</p:properties>
</file>

<file path=customXml/itemProps1.xml><?xml version="1.0" encoding="utf-8"?>
<ds:datastoreItem xmlns:ds="http://schemas.openxmlformats.org/officeDocument/2006/customXml" ds:itemID="{197B87D4-1B32-4C7E-9EF5-37C50757DA7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D6AA0F1-6CE9-4A34-BDBE-F449F7A52A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26526f-3e05-440e-b0c6-444e0c7ea36a"/>
    <ds:schemaRef ds:uri="f9977846-878e-4cf7-99ce-fb98a8891f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FCB2BA-1881-41C6-B97B-50EDB642E1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1840C78-8CE9-49D2-9E21-FE2765328FB9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f9977846-878e-4cf7-99ce-fb98a8891fd2"/>
    <ds:schemaRef ds:uri="ae26526f-3e05-440e-b0c6-444e0c7ea3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overtime</vt:lpstr>
      <vt:lpstr>salary</vt:lpstr>
      <vt:lpstr>maritalstatus</vt:lpstr>
      <vt:lpstr>agegroup</vt:lpstr>
      <vt:lpstr>lifebalance</vt:lpstr>
      <vt:lpstr>distancegroup</vt:lpstr>
      <vt:lpstr>yearsincurrentrole</vt:lpstr>
      <vt:lpstr>job_role</vt:lpstr>
      <vt:lpstr>Sheet2</vt:lpstr>
      <vt:lpstr>Dashboard</vt:lpstr>
      <vt:lpstr>KeyInsights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Senthamil.M</dc:creator>
  <cp:lastModifiedBy>SENTAMIL M (RA2311047010235)</cp:lastModifiedBy>
  <dcterms:created xsi:type="dcterms:W3CDTF">2026-08-22T18:18:18Z</dcterms:created>
  <dcterms:modified xsi:type="dcterms:W3CDTF">2026-08-22T18:19:53Z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0x010100759EEB96E62C9D4DB6E75A00B0FB3AE1</vt:lpwstr>
  </property>
</Properties>
</file>