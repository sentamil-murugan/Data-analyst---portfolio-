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olist_orders\"/>
    </mc:Choice>
  </mc:AlternateContent>
  <xr:revisionPtr revIDLastSave="0" documentId="8_{8DCE9291-FF0A-4965-8FF2-C416BC175B87}" xr6:coauthVersionLast="47" xr6:coauthVersionMax="47" xr10:uidLastSave="{00000000-0000-0000-0000-000000000000}"/>
  <bookViews>
    <workbookView xWindow="-108" yWindow="-108" windowWidth="23256" windowHeight="12456" firstSheet="1" activeTab="3" xr2:uid="{22579220-A6C3-4B83-81A3-60E406A1B360}"/>
  </bookViews>
  <sheets>
    <sheet name="TOP 5 Customers" sheetId="2" r:id="rId1"/>
    <sheet name="Top 5 categories_product name" sheetId="3" r:id="rId2"/>
    <sheet name="Monthly revenue" sheetId="4" r:id="rId3"/>
    <sheet name="Dashboard" sheetId="1" r:id="rId4"/>
  </sheets>
  <definedNames>
    <definedName name="ExternalData_1" localSheetId="3" hidden="1">Dashboard!$B$27:$C$32</definedName>
    <definedName name="ExternalData_1" localSheetId="2" hidden="1">'Monthly revenue'!$A$1:$D$21</definedName>
    <definedName name="ExternalData_1" localSheetId="1" hidden="1">'Top 5 categories_product name'!$A$1:$B$6</definedName>
    <definedName name="ExternalData_1" localSheetId="0" hidden="1">'TOP 5 Customers'!$A$1:$B$6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0E8028-129A-490E-90CC-DD5AD55F9799}" keepAlive="1" name="Query - Monthly revenue" description="Connection to the 'Monthly revenue' query in the workbook." type="5" refreshedVersion="8" background="1" saveData="1">
    <dbPr connection="Provider=Microsoft.Mashup.OleDb.1;Data Source=$Workbook$;Location=&quot;Monthly revenue&quot;;Extended Properties=&quot;&quot;" command="SELECT * FROM [Monthly revenue]"/>
  </connection>
  <connection id="2" xr16:uid="{49B988EC-BB91-4C93-A2CD-0CF6B3F571C7}" keepAlive="1" name="Query - Top 5 categories_product name" description="Connection to the 'Top 5 categories_product name' query in the workbook." type="5" refreshedVersion="8" background="1" saveData="1">
    <dbPr connection="Provider=Microsoft.Mashup.OleDb.1;Data Source=$Workbook$;Location=&quot;Top 5 categories_product name&quot;;Extended Properties=&quot;&quot;" command="SELECT * FROM [Top 5 categories_product name]"/>
  </connection>
  <connection id="3" xr16:uid="{39EC8037-2255-41D1-9F35-6B6EBD9273F3}" keepAlive="1" name="Query - TOP 5 Customers" description="Connection to the 'TOP 5 Customers' query in the workbook." type="5" refreshedVersion="8" background="1" saveData="1">
    <dbPr connection="Provider=Microsoft.Mashup.OleDb.1;Data Source=$Workbook$;Location=&quot;TOP 5 Customers&quot;;Extended Properties=&quot;&quot;" command="SELECT * FROM [TOP 5 Customers]"/>
  </connection>
  <connection id="4" xr16:uid="{D7159445-E38E-428A-8164-749A81280BF8}" keepAlive="1" name="Query - TOP 5 Customers (2)" description="Connection to the 'TOP 5 Customers (2)' query in the workbook." type="5" refreshedVersion="8" background="1" saveData="1">
    <dbPr connection="Provider=Microsoft.Mashup.OleDb.1;Data Source=$Workbook$;Location=&quot;TOP 5 Customers (2)&quot;;Extended Properties=&quot;&quot;" command="SELECT * FROM [TOP 5 Customers (2)]"/>
  </connection>
</connections>
</file>

<file path=xl/sharedStrings.xml><?xml version="1.0" encoding="utf-8"?>
<sst xmlns="http://schemas.openxmlformats.org/spreadsheetml/2006/main" count="28" uniqueCount="20">
  <si>
    <t>customer_id</t>
  </si>
  <si>
    <t>total_spent</t>
  </si>
  <si>
    <t>1617b1357756262bfa56ab541c47bc16</t>
  </si>
  <si>
    <t>ec5b2ba62e574342386871631fafd3fc</t>
  </si>
  <si>
    <t>c6e2731c5b391845f6800c97401a43a9</t>
  </si>
  <si>
    <t>f48d464a0baaea338cb25f816991ab1f</t>
  </si>
  <si>
    <t>3fd6777bbce08a352fddd04e4a7cc8f6</t>
  </si>
  <si>
    <t>product_category</t>
  </si>
  <si>
    <t>total_revenue</t>
  </si>
  <si>
    <t>month</t>
  </si>
  <si>
    <t>revenue</t>
  </si>
  <si>
    <t>previous_month_revenue</t>
  </si>
  <si>
    <t>pct_change</t>
  </si>
  <si>
    <t>Computer Accessories</t>
  </si>
  <si>
    <t>Sports &amp; Leisure</t>
  </si>
  <si>
    <t>Bed, Bath &amp; Table</t>
  </si>
  <si>
    <t>Watches &amp; Gifts</t>
  </si>
  <si>
    <t>Health &amp; Beauty</t>
  </si>
  <si>
    <t>Total Revenue (Jan 2017 - Aug 2018)</t>
  </si>
  <si>
    <t>Customer IDs anonymized per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</si>
</sst>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 [$₹-4009]\ * #,##0_ ;_ [$₹-4009]\ * \-#,##0_ ;_ [$₹-4009]\ * &quot;-&quot;??_ ;_ @_ "/>
  </numFmts>
  <fonts count="5" x14ac:knownFonts="1">
    <font>
      <sz val="11"/>
      <color theme="1"/>
      <name val="Aptos Narrow"/>
      <family val="2"/>
      <scheme val="minor"/>
    </font>
    <font>
      <b/>
      <sz val="28"/>
      <color theme="1"/>
      <name val="Aptos Narrow"/>
      <family val="2"/>
      <scheme val="minor"/>
    </font>
    <font>
      <b/>
      <sz val="18"/>
      <color theme="1"/>
      <name val="Aptos Narrow"/>
      <family val="2"/>
      <scheme val="minor"/>
    </font>
    <font>
      <b/>
      <sz val="24"/>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6"/>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applyAlignment="1">
      <alignment horizontal="center"/>
    </xf>
    <xf numFmtId="166" fontId="1" fillId="0" borderId="2" xfId="0" applyNumberFormat="1" applyFont="1" applyBorder="1" applyAlignment="1"/>
    <xf numFmtId="166" fontId="1" fillId="0" borderId="0" xfId="0" applyNumberFormat="1" applyFont="1" applyBorder="1" applyAlignment="1"/>
    <xf numFmtId="0" fontId="2" fillId="0" borderId="0" xfId="0" applyFont="1" applyAlignment="1"/>
    <xf numFmtId="0" fontId="0" fillId="0" borderId="0" xfId="0" applyAlignment="1">
      <alignment horizontal="center"/>
    </xf>
    <xf numFmtId="0" fontId="0" fillId="0" borderId="0" xfId="0" applyAlignment="1"/>
    <xf numFmtId="0" fontId="3" fillId="0" borderId="0" xfId="0" applyFont="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4" fillId="0" borderId="0" xfId="0" applyFont="1" applyAlignment="1">
      <alignment horizontal="center"/>
    </xf>
    <xf numFmtId="166" fontId="1" fillId="3" borderId="1" xfId="0" applyNumberFormat="1" applyFont="1" applyFill="1" applyBorder="1" applyAlignment="1"/>
    <xf numFmtId="0" fontId="3" fillId="0" borderId="0" xfId="0" applyFont="1" applyAlignment="1"/>
  </cellXfs>
  <cellStyles count="1">
    <cellStyle name="Normal" xfId="0" builtinId="0"/>
  </cellStyles>
  <dxfs count="4">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853238583272325E-2"/>
          <c:y val="0.17171296296296298"/>
          <c:w val="0.85786419554698523"/>
          <c:h val="0.49278980752405949"/>
        </c:manualLayout>
      </c:layout>
      <c:barChart>
        <c:barDir val="col"/>
        <c:grouping val="clustered"/>
        <c:varyColors val="0"/>
        <c:ser>
          <c:idx val="0"/>
          <c:order val="0"/>
          <c:tx>
            <c:strRef>
              <c:f>'Monthly revenue'!$B$1</c:f>
              <c:strCache>
                <c:ptCount val="1"/>
                <c:pt idx="0">
                  <c:v>revenue</c:v>
                </c:pt>
              </c:strCache>
            </c:strRef>
          </c:tx>
          <c:spPr>
            <a:solidFill>
              <a:schemeClr val="accent3"/>
            </a:solidFill>
            <a:ln>
              <a:noFill/>
            </a:ln>
            <a:effectLst/>
          </c:spPr>
          <c:invertIfNegative val="0"/>
          <c:cat>
            <c:numRef>
              <c:f>'Monthly revenue'!$A$2:$A$23</c:f>
              <c:numCache>
                <c:formatCode>m/d/yyyy</c:formatCode>
                <c:ptCount val="2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numCache>
            </c:numRef>
          </c:cat>
          <c:val>
            <c:numRef>
              <c:f>'Monthly revenue'!$B$2:$B$23</c:f>
              <c:numCache>
                <c:formatCode>General</c:formatCode>
                <c:ptCount val="22"/>
                <c:pt idx="0">
                  <c:v>138488.04</c:v>
                </c:pt>
                <c:pt idx="1">
                  <c:v>291908.01</c:v>
                </c:pt>
                <c:pt idx="2">
                  <c:v>449863.6</c:v>
                </c:pt>
                <c:pt idx="3">
                  <c:v>417788.03</c:v>
                </c:pt>
                <c:pt idx="4">
                  <c:v>592918.81999999995</c:v>
                </c:pt>
                <c:pt idx="5">
                  <c:v>511276.38</c:v>
                </c:pt>
                <c:pt idx="6">
                  <c:v>592382.92000000004</c:v>
                </c:pt>
                <c:pt idx="7">
                  <c:v>674396.32</c:v>
                </c:pt>
                <c:pt idx="8">
                  <c:v>727762.45</c:v>
                </c:pt>
                <c:pt idx="9">
                  <c:v>779677.88</c:v>
                </c:pt>
                <c:pt idx="10">
                  <c:v>1194882.8</c:v>
                </c:pt>
                <c:pt idx="11">
                  <c:v>878401.48</c:v>
                </c:pt>
                <c:pt idx="12">
                  <c:v>1115004.18</c:v>
                </c:pt>
                <c:pt idx="13">
                  <c:v>992463.34</c:v>
                </c:pt>
                <c:pt idx="14">
                  <c:v>1159652.1200000001</c:v>
                </c:pt>
                <c:pt idx="15">
                  <c:v>1160785.48</c:v>
                </c:pt>
                <c:pt idx="16">
                  <c:v>1153982.1499999999</c:v>
                </c:pt>
                <c:pt idx="17">
                  <c:v>1023880.5</c:v>
                </c:pt>
                <c:pt idx="18">
                  <c:v>1066540.75</c:v>
                </c:pt>
                <c:pt idx="19">
                  <c:v>1022425.32</c:v>
                </c:pt>
              </c:numCache>
            </c:numRef>
          </c:val>
          <c:extLst>
            <c:ext xmlns:c16="http://schemas.microsoft.com/office/drawing/2014/chart" uri="{C3380CC4-5D6E-409C-BE32-E72D297353CC}">
              <c16:uniqueId val="{00000000-C5AB-4A02-BA47-AE5DAD3F3FD4}"/>
            </c:ext>
          </c:extLst>
        </c:ser>
        <c:dLbls>
          <c:showLegendKey val="0"/>
          <c:showVal val="0"/>
          <c:showCatName val="0"/>
          <c:showSerName val="0"/>
          <c:showPercent val="0"/>
          <c:showBubbleSize val="0"/>
        </c:dLbls>
        <c:gapWidth val="219"/>
        <c:overlap val="-27"/>
        <c:axId val="168694959"/>
        <c:axId val="954397279"/>
      </c:barChart>
      <c:lineChart>
        <c:grouping val="standard"/>
        <c:varyColors val="0"/>
        <c:ser>
          <c:idx val="1"/>
          <c:order val="1"/>
          <c:tx>
            <c:strRef>
              <c:f>'Monthly revenue'!$D$1</c:f>
              <c:strCache>
                <c:ptCount val="1"/>
                <c:pt idx="0">
                  <c:v>pct_change</c:v>
                </c:pt>
              </c:strCache>
            </c:strRef>
          </c:tx>
          <c:spPr>
            <a:ln w="28575" cap="rnd">
              <a:solidFill>
                <a:schemeClr val="accent2"/>
              </a:solidFill>
              <a:round/>
            </a:ln>
            <a:effectLst/>
          </c:spPr>
          <c:marker>
            <c:symbol val="none"/>
          </c:marker>
          <c:cat>
            <c:numRef>
              <c:f>'Monthly revenue'!$A$2:$A$23</c:f>
              <c:numCache>
                <c:formatCode>m/d/yyyy</c:formatCode>
                <c:ptCount val="2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numCache>
            </c:numRef>
          </c:cat>
          <c:val>
            <c:numRef>
              <c:f>'Monthly revenue'!$D$2:$D$23</c:f>
              <c:numCache>
                <c:formatCode>General</c:formatCode>
                <c:ptCount val="22"/>
                <c:pt idx="1">
                  <c:v>110.78210797120099</c:v>
                </c:pt>
                <c:pt idx="2">
                  <c:v>54.11142708965059</c:v>
                </c:pt>
                <c:pt idx="3">
                  <c:v>-7.1300656465648595</c:v>
                </c:pt>
                <c:pt idx="4">
                  <c:v>41.918575311982949</c:v>
                </c:pt>
                <c:pt idx="5">
                  <c:v>-13.769581474914213</c:v>
                </c:pt>
                <c:pt idx="6">
                  <c:v>15.863541358980839</c:v>
                </c:pt>
                <c:pt idx="7">
                  <c:v>13.844659802142829</c:v>
                </c:pt>
                <c:pt idx="8">
                  <c:v>7.9131704040140676</c:v>
                </c:pt>
                <c:pt idx="9">
                  <c:v>7.1335681031633404</c:v>
                </c:pt>
                <c:pt idx="10">
                  <c:v>53.253392285542333</c:v>
                </c:pt>
                <c:pt idx="11">
                  <c:v>-26.486390129642846</c:v>
                </c:pt>
                <c:pt idx="12">
                  <c:v>26.935598970074594</c:v>
                </c:pt>
                <c:pt idx="13">
                  <c:v>-10.990168664659175</c:v>
                </c:pt>
                <c:pt idx="14">
                  <c:v>16.845839363698829</c:v>
                </c:pt>
                <c:pt idx="15">
                  <c:v>9.7732757992963382E-2</c:v>
                </c:pt>
                <c:pt idx="16">
                  <c:v>-0.58609709694163947</c:v>
                </c:pt>
                <c:pt idx="17">
                  <c:v>-11.274147524725569</c:v>
                </c:pt>
                <c:pt idx="18">
                  <c:v>4.1665262694230432</c:v>
                </c:pt>
                <c:pt idx="19">
                  <c:v>-4.1363098409507613</c:v>
                </c:pt>
              </c:numCache>
            </c:numRef>
          </c:val>
          <c:smooth val="0"/>
          <c:extLst>
            <c:ext xmlns:c16="http://schemas.microsoft.com/office/drawing/2014/chart" uri="{C3380CC4-5D6E-409C-BE32-E72D297353CC}">
              <c16:uniqueId val="{00000001-C5AB-4A02-BA47-AE5DAD3F3FD4}"/>
            </c:ext>
          </c:extLst>
        </c:ser>
        <c:dLbls>
          <c:showLegendKey val="0"/>
          <c:showVal val="0"/>
          <c:showCatName val="0"/>
          <c:showSerName val="0"/>
          <c:showPercent val="0"/>
          <c:showBubbleSize val="0"/>
        </c:dLbls>
        <c:marker val="1"/>
        <c:smooth val="0"/>
        <c:axId val="2098479647"/>
        <c:axId val="954413599"/>
      </c:lineChart>
      <c:dateAx>
        <c:axId val="16869495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397279"/>
        <c:crosses val="autoZero"/>
        <c:auto val="1"/>
        <c:lblOffset val="100"/>
        <c:baseTimeUnit val="months"/>
      </c:dateAx>
      <c:valAx>
        <c:axId val="95439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94959"/>
        <c:crosses val="autoZero"/>
        <c:crossBetween val="between"/>
      </c:valAx>
      <c:valAx>
        <c:axId val="9544135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479647"/>
        <c:crosses val="max"/>
        <c:crossBetween val="between"/>
      </c:valAx>
      <c:dateAx>
        <c:axId val="2098479647"/>
        <c:scaling>
          <c:orientation val="minMax"/>
        </c:scaling>
        <c:delete val="1"/>
        <c:axPos val="b"/>
        <c:numFmt formatCode="m/d/yyyy" sourceLinked="1"/>
        <c:majorTickMark val="out"/>
        <c:minorTickMark val="none"/>
        <c:tickLblPos val="nextTo"/>
        <c:crossAx val="954413599"/>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Categories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5 categories_product name'!$B$1</c:f>
              <c:strCache>
                <c:ptCount val="1"/>
                <c:pt idx="0">
                  <c:v>total_revenue</c:v>
                </c:pt>
              </c:strCache>
            </c:strRef>
          </c:tx>
          <c:spPr>
            <a:solidFill>
              <a:schemeClr val="accent3"/>
            </a:solidFill>
            <a:ln>
              <a:noFill/>
            </a:ln>
            <a:effectLst/>
          </c:spPr>
          <c:invertIfNegative val="0"/>
          <c:cat>
            <c:strRef>
              <c:f>'Top 5 categories_product name'!$A$2:$A$6</c:f>
              <c:strCache>
                <c:ptCount val="5"/>
                <c:pt idx="0">
                  <c:v>Health &amp; Beauty</c:v>
                </c:pt>
                <c:pt idx="1">
                  <c:v>Watches &amp; Gifts</c:v>
                </c:pt>
                <c:pt idx="2">
                  <c:v>Bed, Bath &amp; Table</c:v>
                </c:pt>
                <c:pt idx="3">
                  <c:v>Sports &amp; Leisure</c:v>
                </c:pt>
                <c:pt idx="4">
                  <c:v>Computer Accessories</c:v>
                </c:pt>
              </c:strCache>
            </c:strRef>
          </c:cat>
          <c:val>
            <c:numRef>
              <c:f>'Top 5 categories_product name'!$B$2:$B$6</c:f>
              <c:numCache>
                <c:formatCode>General</c:formatCode>
                <c:ptCount val="5"/>
                <c:pt idx="0">
                  <c:v>1258681.3400000001</c:v>
                </c:pt>
                <c:pt idx="1">
                  <c:v>1205005.68</c:v>
                </c:pt>
                <c:pt idx="2">
                  <c:v>1036988.68</c:v>
                </c:pt>
                <c:pt idx="3">
                  <c:v>988048.97</c:v>
                </c:pt>
                <c:pt idx="4">
                  <c:v>911954.32</c:v>
                </c:pt>
              </c:numCache>
            </c:numRef>
          </c:val>
          <c:extLst>
            <c:ext xmlns:c16="http://schemas.microsoft.com/office/drawing/2014/chart" uri="{C3380CC4-5D6E-409C-BE32-E72D297353CC}">
              <c16:uniqueId val="{00000000-AE96-462A-8D9B-F96913A47E91}"/>
            </c:ext>
          </c:extLst>
        </c:ser>
        <c:dLbls>
          <c:showLegendKey val="0"/>
          <c:showVal val="0"/>
          <c:showCatName val="0"/>
          <c:showSerName val="0"/>
          <c:showPercent val="0"/>
          <c:showBubbleSize val="0"/>
        </c:dLbls>
        <c:gapWidth val="182"/>
        <c:axId val="168725119"/>
        <c:axId val="954413119"/>
      </c:barChart>
      <c:catAx>
        <c:axId val="1687251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13119"/>
        <c:crosses val="autoZero"/>
        <c:auto val="1"/>
        <c:lblAlgn val="ctr"/>
        <c:lblOffset val="100"/>
        <c:noMultiLvlLbl val="0"/>
      </c:catAx>
      <c:valAx>
        <c:axId val="95441311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2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91440</xdr:colOff>
      <xdr:row>8</xdr:row>
      <xdr:rowOff>0</xdr:rowOff>
    </xdr:from>
    <xdr:to>
      <xdr:col>6</xdr:col>
      <xdr:colOff>1592580</xdr:colOff>
      <xdr:row>23</xdr:row>
      <xdr:rowOff>91440</xdr:rowOff>
    </xdr:to>
    <xdr:graphicFrame macro="">
      <xdr:nvGraphicFramePr>
        <xdr:cNvPr id="2" name="Chart 1">
          <a:extLst>
            <a:ext uri="{FF2B5EF4-FFF2-40B4-BE49-F238E27FC236}">
              <a16:creationId xmlns:a16="http://schemas.microsoft.com/office/drawing/2014/main" id="{DC2C8D39-25FD-4A5D-ADCD-A0F9D573A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1623060</xdr:colOff>
      <xdr:row>7</xdr:row>
      <xdr:rowOff>175260</xdr:rowOff>
    </xdr:from>
    <xdr:to>
      <xdr:col>13</xdr:col>
      <xdr:colOff>0</xdr:colOff>
      <xdr:row>23</xdr:row>
      <xdr:rowOff>99060</xdr:rowOff>
    </xdr:to>
    <xdr:graphicFrame macro="">
      <xdr:nvGraphicFramePr>
        <xdr:cNvPr id="3" name="Chart 2">
          <a:extLst>
            <a:ext uri="{FF2B5EF4-FFF2-40B4-BE49-F238E27FC236}">
              <a16:creationId xmlns:a16="http://schemas.microsoft.com/office/drawing/2014/main" id="{4DFAEE62-EE70-45BE-AD77-A5488D06E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68036</xdr:colOff>
      <xdr:row>4</xdr:row>
      <xdr:rowOff>27214</xdr:rowOff>
    </xdr:from>
    <xdr:to>
      <xdr:col>18</xdr:col>
      <xdr:colOff>449035</xdr:colOff>
      <xdr:row>35</xdr:row>
      <xdr:rowOff>108856</xdr:rowOff>
    </xdr:to>
    <xdr:sp macro="" textlink="">
      <xdr:nvSpPr>
        <xdr:cNvPr id="4" name="TextBox 3">
          <a:extLst>
            <a:ext uri="{FF2B5EF4-FFF2-40B4-BE49-F238E27FC236}">
              <a16:creationId xmlns:a16="http://schemas.microsoft.com/office/drawing/2014/main" id="{1758C260-03BA-B4EC-916C-2CE923DB5065}"/>
            </a:ext>
          </a:extLst>
        </xdr:cNvPr>
        <xdr:cNvSpPr txBox="1"/>
      </xdr:nvSpPr>
      <xdr:spPr>
        <a:xfrm>
          <a:off x="12083143" y="1415143"/>
          <a:ext cx="3442606" cy="6014356"/>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endParaRPr lang="en-IN" b="1"/>
        </a:p>
        <a:p>
          <a:pPr lvl="0"/>
          <a:r>
            <a:rPr lang="en-IN" sz="2000" b="1" i="0"/>
            <a:t>Insights</a:t>
          </a:r>
        </a:p>
        <a:p>
          <a:pPr lvl="0"/>
          <a:endParaRPr lang="en-IN" sz="1000" b="1"/>
        </a:p>
        <a:p>
          <a:pPr lvl="0"/>
          <a:r>
            <a:rPr lang="en-IN" sz="1600" b="1"/>
            <a:t>Total revenue reached ₹1,59,44,481</a:t>
          </a:r>
          <a:r>
            <a:rPr lang="en-IN" sz="1600"/>
            <a:t> across the analyzed period (Jan 2017 – Aug 2018).</a:t>
          </a:r>
        </a:p>
        <a:p>
          <a:pPr lvl="0"/>
          <a:endParaRPr lang="en-IN" sz="1600"/>
        </a:p>
        <a:p>
          <a:pPr lvl="0"/>
          <a:r>
            <a:rPr lang="en-IN" sz="1600" b="1"/>
            <a:t>Revenue grew consistently</a:t>
          </a:r>
          <a:r>
            <a:rPr lang="en-IN" sz="1600"/>
            <a:t> from ~₹1.1L in Jan 2017 to a stable ₹10L+ monthly by 2018, reflecting strong platform growth.</a:t>
          </a:r>
        </a:p>
        <a:p>
          <a:pPr lvl="0"/>
          <a:endParaRPr lang="en-IN" sz="1600"/>
        </a:p>
        <a:p>
          <a:pPr lvl="0"/>
          <a:r>
            <a:rPr lang="en-IN" sz="1600" b="1"/>
            <a:t>Health &amp; Beauty and Watches &amp; Gifts</a:t>
          </a:r>
          <a:r>
            <a:rPr lang="en-IN" sz="1600"/>
            <a:t> are the top two revenue-generating categories, together outperforming Computer Accessories, the lowest of the top 5.</a:t>
          </a:r>
        </a:p>
        <a:p>
          <a:pPr lvl="0"/>
          <a:endParaRPr lang="en-IN" sz="1600"/>
        </a:p>
        <a:p>
          <a:pPr lvl="0"/>
          <a:r>
            <a:rPr lang="en-IN" sz="1600" b="1"/>
            <a:t>Sept–Dec 2016 and Sept–Oct 2018 were excluded</a:t>
          </a:r>
          <a:r>
            <a:rPr lang="en-IN" sz="1600"/>
            <a:t> from analysis due to incomplete order data at the start and end of the dataset's collection window (as low as 1–16 orders vs. thousands in normal months), preventing misleading trend distortions.</a:t>
          </a:r>
        </a:p>
        <a:p>
          <a:endParaRPr lang="en-IN"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1B307AB-B534-4006-9D40-D12E5D67227E}" autoFormatId="16" applyNumberFormats="0" applyBorderFormats="0" applyFontFormats="0" applyPatternFormats="0" applyAlignmentFormats="0" applyWidthHeightFormats="0">
  <queryTableRefresh nextId="3">
    <queryTableFields count="2">
      <queryTableField id="1" name="customer_id" tableColumnId="1"/>
      <queryTableField id="2" name="total_spe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1890A3F-E8EC-4149-892E-D66C8CB9BB46}" autoFormatId="16" applyNumberFormats="0" applyBorderFormats="0" applyFontFormats="0" applyPatternFormats="0" applyAlignmentFormats="0" applyWidthHeightFormats="0">
  <queryTableRefresh nextId="3">
    <queryTableFields count="2">
      <queryTableField id="1" name="product_category" tableColumnId="1"/>
      <queryTableField id="2" name="total_revenu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1AB5C8F-3014-46B6-A8E6-C5A90C0D0C3E}" autoFormatId="16" applyNumberFormats="0" applyBorderFormats="0" applyFontFormats="0" applyPatternFormats="0" applyAlignmentFormats="0" applyWidthHeightFormats="0">
  <queryTableRefresh nextId="5">
    <queryTableFields count="4">
      <queryTableField id="1" name="month" tableColumnId="1"/>
      <queryTableField id="2" name="revenue" tableColumnId="2"/>
      <queryTableField id="3" name="previous_month_revenue" tableColumnId="3"/>
      <queryTableField id="4" name="pct_chang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D953A5C-7A3E-4E1E-A7B7-AC70D6104C32}" autoFormatId="16" applyNumberFormats="0" applyBorderFormats="0" applyFontFormats="0" applyPatternFormats="0" applyAlignmentFormats="0" applyWidthHeightFormats="0">
  <queryTableRefresh nextId="3">
    <queryTableFields count="2">
      <queryTableField id="1" name="customer_id" tableColumnId="1"/>
      <queryTableField id="2" name="total_spen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EEB707-7A7B-4143-A7EC-152380DB4DF2}" name="TOP_5_Customers" displayName="TOP_5_Customers" ref="A1:B6" tableType="queryTable" totalsRowShown="0">
  <autoFilter ref="A1:B6" xr:uid="{B3EEB707-7A7B-4143-A7EC-152380DB4DF2}"/>
  <tableColumns count="2">
    <tableColumn id="1" xr3:uid="{B1B23617-7379-44C7-8C25-45BC49F07375}" uniqueName="1" name="customer_id" queryTableFieldId="1" dataDxfId="3"/>
    <tableColumn id="2" xr3:uid="{880836B8-EE1D-4F20-B3EC-880B85FE58A3}" uniqueName="2" name="total_spent"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E26705-FAE6-4B7E-BAE9-A640D50B802B}" name="Top_5_categories_product_name" displayName="Top_5_categories_product_name" ref="A1:B6" tableType="queryTable" totalsRowShown="0">
  <autoFilter ref="A1:B6" xr:uid="{FEE26705-FAE6-4B7E-BAE9-A640D50B802B}"/>
  <tableColumns count="2">
    <tableColumn id="1" xr3:uid="{05A63532-9405-4920-8643-26231B52812C}" uniqueName="1" name="product_category" queryTableFieldId="1" dataDxfId="2"/>
    <tableColumn id="2" xr3:uid="{97C986C9-91DA-4C6A-835E-CB747E3AFB5B}" uniqueName="2" name="total_revenue"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419C0E-3748-4597-B440-07FBA6E544BE}" name="Monthly_revenue" displayName="Monthly_revenue" ref="A1:D21" tableType="queryTable" totalsRowShown="0">
  <autoFilter ref="A1:D21" xr:uid="{D2419C0E-3748-4597-B440-07FBA6E544BE}"/>
  <tableColumns count="4">
    <tableColumn id="1" xr3:uid="{2561F30D-426A-4087-AF58-5159861B7A3A}" uniqueName="1" name="month" queryTableFieldId="1" dataDxfId="1"/>
    <tableColumn id="2" xr3:uid="{65A44BBA-989B-4555-9CA2-836A2B6020FC}" uniqueName="2" name="revenue" queryTableFieldId="2"/>
    <tableColumn id="3" xr3:uid="{B3D26A1A-14BE-4656-ACD0-D782589DD894}" uniqueName="3" name="previous_month_revenue" queryTableFieldId="3"/>
    <tableColumn id="4" xr3:uid="{DE2B7388-59B7-444A-B99C-A3C626DFEAB6}" uniqueName="4" name="pct_chang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E2B34D-EDBC-4435-A2F4-58A752F43BB1}" name="TOP_5_Customers5" displayName="TOP_5_Customers5" ref="B27:C32" tableType="queryTable" totalsRowShown="0">
  <autoFilter ref="B27:C32" xr:uid="{94E2B34D-EDBC-4435-A2F4-58A752F43BB1}"/>
  <tableColumns count="2">
    <tableColumn id="1" xr3:uid="{C3922835-A46B-44DE-9E81-BEC892C67FD6}" uniqueName="1" name="customer_id" queryTableFieldId="1" dataDxfId="0"/>
    <tableColumn id="2" xr3:uid="{2BD7AB77-6CB8-4025-AFF1-DBDAC195D6AD}" uniqueName="2" name="total_spe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F1A7-9106-4175-AD02-1F8BEB4F70C2}">
  <dimension ref="A1:B6"/>
  <sheetViews>
    <sheetView workbookViewId="0">
      <selection sqref="A1:B6"/>
    </sheetView>
  </sheetViews>
  <sheetFormatPr defaultRowHeight="14.4" x14ac:dyDescent="0.3"/>
  <cols>
    <col min="1" max="1" width="33.109375" bestFit="1" customWidth="1"/>
    <col min="2" max="2" width="12.5546875" bestFit="1" customWidth="1"/>
  </cols>
  <sheetData>
    <row r="1" spans="1:2" x14ac:dyDescent="0.3">
      <c r="A1" t="s">
        <v>0</v>
      </c>
      <c r="B1" t="s">
        <v>1</v>
      </c>
    </row>
    <row r="2" spans="1:2" x14ac:dyDescent="0.3">
      <c r="A2" s="1" t="s">
        <v>2</v>
      </c>
      <c r="B2">
        <v>13664.08</v>
      </c>
    </row>
    <row r="3" spans="1:2" x14ac:dyDescent="0.3">
      <c r="A3" s="1" t="s">
        <v>3</v>
      </c>
      <c r="B3">
        <v>7274.88</v>
      </c>
    </row>
    <row r="4" spans="1:2" x14ac:dyDescent="0.3">
      <c r="A4" s="1" t="s">
        <v>4</v>
      </c>
      <c r="B4">
        <v>6929.31</v>
      </c>
    </row>
    <row r="5" spans="1:2" x14ac:dyDescent="0.3">
      <c r="A5" s="1" t="s">
        <v>5</v>
      </c>
      <c r="B5">
        <v>6922.21</v>
      </c>
    </row>
    <row r="6" spans="1:2" x14ac:dyDescent="0.3">
      <c r="A6" s="1" t="s">
        <v>6</v>
      </c>
      <c r="B6">
        <v>6726.66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2D3BE-E9FE-4C8C-8C8A-ED7AE48B0B66}">
  <dimension ref="A1:B6"/>
  <sheetViews>
    <sheetView workbookViewId="0">
      <selection activeCell="E11" sqref="E11"/>
    </sheetView>
  </sheetViews>
  <sheetFormatPr defaultRowHeight="14.4" x14ac:dyDescent="0.3"/>
  <cols>
    <col min="1" max="1" width="20" bestFit="1" customWidth="1"/>
    <col min="2" max="2" width="14.44140625" bestFit="1" customWidth="1"/>
  </cols>
  <sheetData>
    <row r="1" spans="1:2" x14ac:dyDescent="0.3">
      <c r="A1" t="s">
        <v>7</v>
      </c>
      <c r="B1" t="s">
        <v>8</v>
      </c>
    </row>
    <row r="2" spans="1:2" x14ac:dyDescent="0.3">
      <c r="A2" s="1" t="s">
        <v>17</v>
      </c>
      <c r="B2">
        <v>1258681.3400000001</v>
      </c>
    </row>
    <row r="3" spans="1:2" x14ac:dyDescent="0.3">
      <c r="A3" s="1" t="s">
        <v>16</v>
      </c>
      <c r="B3">
        <v>1205005.68</v>
      </c>
    </row>
    <row r="4" spans="1:2" x14ac:dyDescent="0.3">
      <c r="A4" s="1" t="s">
        <v>15</v>
      </c>
      <c r="B4">
        <v>1036988.68</v>
      </c>
    </row>
    <row r="5" spans="1:2" x14ac:dyDescent="0.3">
      <c r="A5" s="1" t="s">
        <v>14</v>
      </c>
      <c r="B5">
        <v>988048.97</v>
      </c>
    </row>
    <row r="6" spans="1:2" x14ac:dyDescent="0.3">
      <c r="A6" s="1" t="s">
        <v>13</v>
      </c>
      <c r="B6">
        <v>911954.32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8725-F725-43E1-9112-B674ADA83FAE}">
  <dimension ref="A1:D21"/>
  <sheetViews>
    <sheetView workbookViewId="0">
      <selection activeCell="F2" sqref="F2"/>
    </sheetView>
  </sheetViews>
  <sheetFormatPr defaultRowHeight="14.4" x14ac:dyDescent="0.3"/>
  <cols>
    <col min="1" max="1" width="10.33203125" bestFit="1" customWidth="1"/>
    <col min="2" max="2" width="11" bestFit="1" customWidth="1"/>
    <col min="3" max="3" width="24.109375" bestFit="1" customWidth="1"/>
    <col min="4" max="4" width="12.6640625" bestFit="1" customWidth="1"/>
    <col min="6" max="6" width="11" bestFit="1" customWidth="1"/>
  </cols>
  <sheetData>
    <row r="1" spans="1:4" x14ac:dyDescent="0.3">
      <c r="A1" t="s">
        <v>9</v>
      </c>
      <c r="B1" t="s">
        <v>10</v>
      </c>
      <c r="C1" t="s">
        <v>11</v>
      </c>
      <c r="D1" t="s">
        <v>12</v>
      </c>
    </row>
    <row r="2" spans="1:4" x14ac:dyDescent="0.3">
      <c r="A2" s="2">
        <v>42736</v>
      </c>
      <c r="B2">
        <v>138488.04</v>
      </c>
      <c r="C2">
        <v>19.62</v>
      </c>
    </row>
    <row r="3" spans="1:4" x14ac:dyDescent="0.3">
      <c r="A3" s="2">
        <v>42767</v>
      </c>
      <c r="B3">
        <v>291908.01</v>
      </c>
      <c r="C3">
        <v>138488.04</v>
      </c>
      <c r="D3">
        <v>110.78210797120099</v>
      </c>
    </row>
    <row r="4" spans="1:4" x14ac:dyDescent="0.3">
      <c r="A4" s="2">
        <v>42795</v>
      </c>
      <c r="B4">
        <v>449863.6</v>
      </c>
      <c r="C4">
        <v>291908.01</v>
      </c>
      <c r="D4">
        <v>54.11142708965059</v>
      </c>
    </row>
    <row r="5" spans="1:4" x14ac:dyDescent="0.3">
      <c r="A5" s="2">
        <v>42826</v>
      </c>
      <c r="B5">
        <v>417788.03</v>
      </c>
      <c r="C5">
        <v>449863.6</v>
      </c>
      <c r="D5">
        <v>-7.1300656465648595</v>
      </c>
    </row>
    <row r="6" spans="1:4" x14ac:dyDescent="0.3">
      <c r="A6" s="2">
        <v>42856</v>
      </c>
      <c r="B6">
        <v>592918.81999999995</v>
      </c>
      <c r="C6">
        <v>417788.03</v>
      </c>
      <c r="D6">
        <v>41.918575311982949</v>
      </c>
    </row>
    <row r="7" spans="1:4" x14ac:dyDescent="0.3">
      <c r="A7" s="2">
        <v>42887</v>
      </c>
      <c r="B7">
        <v>511276.38</v>
      </c>
      <c r="C7">
        <v>592918.81999999995</v>
      </c>
      <c r="D7">
        <v>-13.769581474914213</v>
      </c>
    </row>
    <row r="8" spans="1:4" x14ac:dyDescent="0.3">
      <c r="A8" s="2">
        <v>42917</v>
      </c>
      <c r="B8">
        <v>592382.92000000004</v>
      </c>
      <c r="C8">
        <v>511276.38</v>
      </c>
      <c r="D8">
        <v>15.863541358980839</v>
      </c>
    </row>
    <row r="9" spans="1:4" x14ac:dyDescent="0.3">
      <c r="A9" s="2">
        <v>42948</v>
      </c>
      <c r="B9">
        <v>674396.32</v>
      </c>
      <c r="C9">
        <v>592382.92000000004</v>
      </c>
      <c r="D9">
        <v>13.844659802142829</v>
      </c>
    </row>
    <row r="10" spans="1:4" x14ac:dyDescent="0.3">
      <c r="A10" s="2">
        <v>42979</v>
      </c>
      <c r="B10">
        <v>727762.45</v>
      </c>
      <c r="C10">
        <v>674396.32</v>
      </c>
      <c r="D10">
        <v>7.9131704040140676</v>
      </c>
    </row>
    <row r="11" spans="1:4" x14ac:dyDescent="0.3">
      <c r="A11" s="2">
        <v>43009</v>
      </c>
      <c r="B11">
        <v>779677.88</v>
      </c>
      <c r="C11">
        <v>727762.45</v>
      </c>
      <c r="D11">
        <v>7.1335681031633404</v>
      </c>
    </row>
    <row r="12" spans="1:4" x14ac:dyDescent="0.3">
      <c r="A12" s="2">
        <v>43040</v>
      </c>
      <c r="B12">
        <v>1194882.8</v>
      </c>
      <c r="C12">
        <v>779677.88</v>
      </c>
      <c r="D12">
        <v>53.253392285542333</v>
      </c>
    </row>
    <row r="13" spans="1:4" x14ac:dyDescent="0.3">
      <c r="A13" s="2">
        <v>43070</v>
      </c>
      <c r="B13">
        <v>878401.48</v>
      </c>
      <c r="C13">
        <v>1194882.8</v>
      </c>
      <c r="D13">
        <v>-26.486390129642846</v>
      </c>
    </row>
    <row r="14" spans="1:4" x14ac:dyDescent="0.3">
      <c r="A14" s="2">
        <v>43101</v>
      </c>
      <c r="B14">
        <v>1115004.18</v>
      </c>
      <c r="C14">
        <v>878401.48</v>
      </c>
      <c r="D14">
        <v>26.935598970074594</v>
      </c>
    </row>
    <row r="15" spans="1:4" x14ac:dyDescent="0.3">
      <c r="A15" s="2">
        <v>43132</v>
      </c>
      <c r="B15">
        <v>992463.34</v>
      </c>
      <c r="C15">
        <v>1115004.18</v>
      </c>
      <c r="D15">
        <v>-10.990168664659175</v>
      </c>
    </row>
    <row r="16" spans="1:4" x14ac:dyDescent="0.3">
      <c r="A16" s="2">
        <v>43160</v>
      </c>
      <c r="B16">
        <v>1159652.1200000001</v>
      </c>
      <c r="C16">
        <v>992463.34</v>
      </c>
      <c r="D16">
        <v>16.845839363698829</v>
      </c>
    </row>
    <row r="17" spans="1:4" x14ac:dyDescent="0.3">
      <c r="A17" s="2">
        <v>43191</v>
      </c>
      <c r="B17">
        <v>1160785.48</v>
      </c>
      <c r="C17">
        <v>1159652.1200000001</v>
      </c>
      <c r="D17">
        <v>9.7732757992963382E-2</v>
      </c>
    </row>
    <row r="18" spans="1:4" x14ac:dyDescent="0.3">
      <c r="A18" s="2">
        <v>43221</v>
      </c>
      <c r="B18">
        <v>1153982.1499999999</v>
      </c>
      <c r="C18">
        <v>1160785.48</v>
      </c>
      <c r="D18">
        <v>-0.58609709694163947</v>
      </c>
    </row>
    <row r="19" spans="1:4" x14ac:dyDescent="0.3">
      <c r="A19" s="2">
        <v>43252</v>
      </c>
      <c r="B19">
        <v>1023880.5</v>
      </c>
      <c r="C19">
        <v>1153982.1499999999</v>
      </c>
      <c r="D19">
        <v>-11.274147524725569</v>
      </c>
    </row>
    <row r="20" spans="1:4" x14ac:dyDescent="0.3">
      <c r="A20" s="2">
        <v>43282</v>
      </c>
      <c r="B20">
        <v>1066540.75</v>
      </c>
      <c r="C20">
        <v>1023880.5</v>
      </c>
      <c r="D20">
        <v>4.1665262694230432</v>
      </c>
    </row>
    <row r="21" spans="1:4" x14ac:dyDescent="0.3">
      <c r="A21" s="2">
        <v>43313</v>
      </c>
      <c r="B21">
        <v>1022425.32</v>
      </c>
      <c r="C21">
        <v>1066540.75</v>
      </c>
      <c r="D21">
        <v>-4.1363098409507613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0C6D-A45F-4513-92C3-11F78DBE6438}">
  <dimension ref="B1:R32"/>
  <sheetViews>
    <sheetView tabSelected="1" zoomScale="56" workbookViewId="0">
      <selection activeCell="R45" sqref="R45"/>
    </sheetView>
  </sheetViews>
  <sheetFormatPr defaultRowHeight="14.4" x14ac:dyDescent="0.3"/>
  <cols>
    <col min="2" max="2" width="33.109375" bestFit="1" customWidth="1"/>
    <col min="3" max="3" width="12.5546875" bestFit="1" customWidth="1"/>
    <col min="7" max="7" width="40.21875" bestFit="1" customWidth="1"/>
    <col min="15" max="18" width="8.88671875" style="8"/>
  </cols>
  <sheetData>
    <row r="1" spans="5:13" x14ac:dyDescent="0.3">
      <c r="G1" s="8"/>
      <c r="H1" s="8"/>
      <c r="I1" s="8"/>
      <c r="J1" s="8"/>
      <c r="K1" s="8"/>
    </row>
    <row r="2" spans="5:13" ht="49.95" customHeight="1" x14ac:dyDescent="0.6">
      <c r="E2" s="9" t="s">
        <v>18</v>
      </c>
      <c r="F2" s="9"/>
      <c r="G2" s="9"/>
      <c r="H2" s="9"/>
      <c r="I2" s="9"/>
      <c r="J2" s="9"/>
      <c r="K2" s="8"/>
      <c r="L2" s="8"/>
    </row>
    <row r="3" spans="5:13" ht="31.2" x14ac:dyDescent="0.6">
      <c r="E3" s="14"/>
      <c r="F3" s="14"/>
      <c r="G3" s="14"/>
      <c r="H3" s="14"/>
      <c r="I3" s="14"/>
      <c r="J3" s="14"/>
      <c r="K3" s="8"/>
    </row>
    <row r="4" spans="5:13" ht="15" thickBot="1" x14ac:dyDescent="0.35">
      <c r="G4" s="8"/>
      <c r="H4" s="8"/>
      <c r="I4" s="8"/>
      <c r="J4" s="8"/>
      <c r="K4" s="8"/>
    </row>
    <row r="5" spans="5:13" ht="37.200000000000003" thickBot="1" x14ac:dyDescent="0.75">
      <c r="G5" s="13">
        <f>SUM(Monthly_revenue[revenue])</f>
        <v>15944480.569999998</v>
      </c>
      <c r="H5" s="4"/>
      <c r="I5" s="5"/>
      <c r="J5" s="5"/>
      <c r="K5" s="5"/>
      <c r="L5" s="5"/>
      <c r="M5" s="5"/>
    </row>
    <row r="6" spans="5:13" ht="23.4" customHeight="1" thickBot="1" x14ac:dyDescent="0.5">
      <c r="G6" s="10" t="s">
        <v>18</v>
      </c>
      <c r="H6" s="11"/>
      <c r="I6" s="6"/>
      <c r="J6" s="6"/>
      <c r="K6" s="6"/>
      <c r="L6" s="6"/>
      <c r="M6" s="6"/>
    </row>
    <row r="8" spans="5:13" x14ac:dyDescent="0.3">
      <c r="G8" s="3"/>
    </row>
    <row r="26" spans="2:3" ht="15.6" x14ac:dyDescent="0.3">
      <c r="B26" s="12" t="s">
        <v>19</v>
      </c>
      <c r="C26" s="7"/>
    </row>
    <row r="27" spans="2:3" x14ac:dyDescent="0.3">
      <c r="B27" t="s">
        <v>0</v>
      </c>
      <c r="C27" t="s">
        <v>1</v>
      </c>
    </row>
    <row r="28" spans="2:3" x14ac:dyDescent="0.3">
      <c r="B28" s="1" t="s">
        <v>2</v>
      </c>
      <c r="C28">
        <v>13664.08</v>
      </c>
    </row>
    <row r="29" spans="2:3" x14ac:dyDescent="0.3">
      <c r="B29" s="1" t="s">
        <v>3</v>
      </c>
      <c r="C29">
        <v>7274.88</v>
      </c>
    </row>
    <row r="30" spans="2:3" x14ac:dyDescent="0.3">
      <c r="B30" s="1" t="s">
        <v>4</v>
      </c>
      <c r="C30">
        <v>6929.31</v>
      </c>
    </row>
    <row r="31" spans="2:3" x14ac:dyDescent="0.3">
      <c r="B31" s="1" t="s">
        <v>5</v>
      </c>
      <c r="C31">
        <v>6922.21</v>
      </c>
    </row>
    <row r="32" spans="2:3" x14ac:dyDescent="0.3">
      <c r="B32" s="1" t="s">
        <v>6</v>
      </c>
      <c r="C32">
        <v>6726.66</v>
      </c>
    </row>
  </sheetData>
  <mergeCells count="3">
    <mergeCell ref="B26:C26"/>
    <mergeCell ref="E2:J2"/>
    <mergeCell ref="G6:H6"/>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90E71C-9D7C-4B4D-87CD-07BC790F2B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5 Customers</vt:lpstr>
      <vt:lpstr>Top 5 categories_product name</vt:lpstr>
      <vt:lpstr>Monthly 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SENTAMIL M (RA2311047010235)</dc:creator>
  <cp:lastModifiedBy>SENTAMIL M (RA2311047010235)</cp:lastModifiedBy>
  <dcterms:created xsi:type="dcterms:W3CDTF">2026-08-13T17:50:56Z</dcterms:created>
  <dcterms:modified xsi:type="dcterms:W3CDTF">2026-08-14T11:16:54Z</dcterms:modified>
</cp:coreProperties>
</file>